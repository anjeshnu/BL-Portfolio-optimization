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E:\Books\CQF\Final Assignment\PC Anjeshnu Trivedi Code\data\"/>
    </mc:Choice>
  </mc:AlternateContent>
  <bookViews>
    <workbookView xWindow="0" yWindow="0" windowWidth="14925" windowHeight="7965" activeTab="2"/>
  </bookViews>
  <sheets>
    <sheet name="Starting point scenario" sheetId="5" r:id="rId1"/>
    <sheet name="AI productivity boom scenario" sheetId="13" r:id="rId2"/>
    <sheet name="U.S. risk premia scenario" sheetId="15" r:id="rId3"/>
    <sheet name="Strategic asset allocation" sheetId="16" r:id="rId4"/>
    <sheet name="Sheet1" sheetId="17"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xlnm._FilterDatabase" localSheetId="0" hidden="1">'Starting point scenario'!$A$3:$AP$388</definedName>
    <definedName name="_Regression_Int" hidden="1">1</definedName>
    <definedName name="_wrn1"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 hidden="1">{#N/A,#N/A,FALSE,"One Pager";#N/A,#N/A,FALSE,"Technical"}</definedName>
    <definedName name="_wrn111" localSheetId="0" hidden="1">{#N/A,#N/A,FALSE,"One Pager";#N/A,#N/A,FALSE,"Technical"}</definedName>
    <definedName name="_wrn111" localSheetId="3" hidden="1">{#N/A,#N/A,FALSE,"One Pager";#N/A,#N/A,FALSE,"Technical"}</definedName>
    <definedName name="_wrn111" localSheetId="2" hidden="1">{#N/A,#N/A,FALSE,"One Pager";#N/A,#N/A,FALSE,"Technical"}</definedName>
    <definedName name="_wrn111" hidden="1">{#N/A,#N/A,FALSE,"One Pager";#N/A,#N/A,FALSE,"Technical"}</definedName>
    <definedName name="_wrn2" localSheetId="1" hidden="1">{#N/A,#N/A,TRUE,"Financials";#N/A,#N/A,TRUE,"Operating Statistics";#N/A,#N/A,TRUE,"Capex &amp; Depreciation";#N/A,#N/A,TRUE,"Debt"}</definedName>
    <definedName name="_wrn2" localSheetId="0" hidden="1">{#N/A,#N/A,TRUE,"Financials";#N/A,#N/A,TRUE,"Operating Statistics";#N/A,#N/A,TRUE,"Capex &amp; Depreciation";#N/A,#N/A,TRUE,"Debt"}</definedName>
    <definedName name="_wrn2" localSheetId="3" hidden="1">{#N/A,#N/A,TRUE,"Financials";#N/A,#N/A,TRUE,"Operating Statistics";#N/A,#N/A,TRUE,"Capex &amp; Depreciation";#N/A,#N/A,TRUE,"Debt"}</definedName>
    <definedName name="_wrn2" localSheetId="2" hidden="1">{#N/A,#N/A,TRUE,"Financials";#N/A,#N/A,TRUE,"Operating Statistics";#N/A,#N/A,TRUE,"Capex &amp; Depreciation";#N/A,#N/A,TRUE,"Debt"}</definedName>
    <definedName name="_wrn2" hidden="1">{#N/A,#N/A,TRUE,"Financials";#N/A,#N/A,TRUE,"Operating Statistics";#N/A,#N/A,TRUE,"Capex &amp; Depreciation";#N/A,#N/A,TRUE,"Debt"}</definedName>
    <definedName name="_wrn3" localSheetId="1" hidden="1">{#N/A,#N/A,FALSE,"One Pager";#N/A,#N/A,FALSE,"Technical"}</definedName>
    <definedName name="_wrn3" localSheetId="0" hidden="1">{#N/A,#N/A,FALSE,"One Pager";#N/A,#N/A,FALSE,"Technical"}</definedName>
    <definedName name="_wrn3" localSheetId="3" hidden="1">{#N/A,#N/A,FALSE,"One Pager";#N/A,#N/A,FALSE,"Technical"}</definedName>
    <definedName name="_wrn3" localSheetId="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 localSheetId="3">'[6]Currency bucketing mapping'!$B$35:$B$160</definedName>
    <definedName name="Currency_cusip">'[6]Currency bucketing mapping'!$B$35:$B$160</definedName>
    <definedName name="Currency_name" localSheetId="3">'[6]Currency bucketing mapping'!$B$35:$BF$35</definedName>
    <definedName name="Currency_name">'[6]Currency bucketing mapping'!$B$35:$BF$35</definedName>
    <definedName name="Currency_table" localSheetId="3">'[6]Currency bucketing mapping'!$B$35:$BF$160</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localSheetId="3" hidden="1">[9]_Control!$D$30</definedName>
    <definedName name="gls_ADMIN" hidden="1">[9]_Control!$D$30</definedName>
    <definedName name="gls_ALLOW_BOTH_PC" localSheetId="3" hidden="1">[9]_Control!$D$52</definedName>
    <definedName name="gls_ALLOW_BOTH_PC" hidden="1">[9]_Control!$D$52</definedName>
    <definedName name="gls_ALLOW_PARENT_OR_CONSOLIDATED" localSheetId="3" hidden="1">[9]_Control!$D$41</definedName>
    <definedName name="gls_ALLOW_PARENT_OR_CONSOLIDATED" hidden="1">[9]_Control!$D$41</definedName>
    <definedName name="gls_ALLOW_PUBLISH" localSheetId="3" hidden="1">[9]_Control!$D$27</definedName>
    <definedName name="gls_ALLOW_PUBLISH" hidden="1">[9]_Control!$D$27</definedName>
    <definedName name="gls_AnalystEmpNoHeading" hidden="1">#REF!</definedName>
    <definedName name="gls_AnalystNameHeading" hidden="1">#REF!</definedName>
    <definedName name="gls_CF_BEGINS" localSheetId="3" hidden="1">[9]_Control!$D$38</definedName>
    <definedName name="gls_CF_BEGINS" hidden="1">[9]_Control!$D$38</definedName>
    <definedName name="gls_CFD_CHANGEACT" localSheetId="3" hidden="1">[9]_Control!$D$45</definedName>
    <definedName name="gls_CFD_CHANGEACT" hidden="1">[9]_Control!$D$45</definedName>
    <definedName name="gls_CFD_CHANGEEST" localSheetId="3" hidden="1">[9]_Control!$D$46</definedName>
    <definedName name="gls_CFD_CHANGEEST" hidden="1">[9]_Control!$D$46</definedName>
    <definedName name="gls_CFD_FIRSTAVAIL" localSheetId="3" hidden="1">[9]_Control!$D$47</definedName>
    <definedName name="gls_CFD_FIRSTAVAIL" hidden="1">[9]_Control!$D$47</definedName>
    <definedName name="gls_CFD_LISTAVAIL" localSheetId="3" hidden="1">[9]_Control!$D$48</definedName>
    <definedName name="gls_CFD_LISTAVAIL" hidden="1">[9]_Control!$D$48</definedName>
    <definedName name="gls_CFD_SELECTED" localSheetId="3" hidden="1">[9]_Control!$D$44</definedName>
    <definedName name="gls_CFD_SELECTED" hidden="1">[9]_Control!$D$44</definedName>
    <definedName name="gls_CHANGED_NAMES" localSheetId="3" hidden="1">[9]_Control!$D$25</definedName>
    <definedName name="gls_CHANGED_NAMES" hidden="1">[9]_Control!$D$25</definedName>
    <definedName name="gls_CHG_KEY_USER" localSheetId="3" hidden="1">[9]_Control!$D$10</definedName>
    <definedName name="gls_CHG_KEY_USER" hidden="1">[9]_Control!$D$10</definedName>
    <definedName name="gls_CHG_SEL_ONLY" localSheetId="3" hidden="1">[9]_Control!$D$9</definedName>
    <definedName name="gls_CHG_SEL_ONLY" hidden="1">[9]_Control!$D$9</definedName>
    <definedName name="gls_COMPANY_WORKBOOK_ID" localSheetId="3" hidden="1">[9]_Control!$D$17</definedName>
    <definedName name="gls_COMPANY_WORKBOOK_ID" hidden="1">[9]_Control!$D$17</definedName>
    <definedName name="gls_DELETED_PERIODS" localSheetId="3" hidden="1">[9]_Control!$J$1</definedName>
    <definedName name="gls_DELETED_PERIODS" hidden="1">[9]_Control!$J$1</definedName>
    <definedName name="gls_EST_FORM_OFFSET" hidden="1">#REF!</definedName>
    <definedName name="gls_EXC_NOT_EXT" localSheetId="3" hidden="1">[9]_Control!$D$35</definedName>
    <definedName name="gls_EXC_NOT_EXT" hidden="1">[9]_Control!$D$35</definedName>
    <definedName name="gls_EXISTING_PERIODS" localSheetId="3" hidden="1">[9]_Control!$G$1</definedName>
    <definedName name="gls_EXISTING_PERIODS" hidden="1">[9]_Control!$G$1</definedName>
    <definedName name="gls_EXT_BELOW_PBT" localSheetId="3" hidden="1">[9]_Control!$D$39</definedName>
    <definedName name="gls_EXT_BELOW_PBT" hidden="1">[9]_Control!$D$39</definedName>
    <definedName name="gls_EXT_LINK_GLOSS" localSheetId="3" hidden="1">[9]_Control!$D$50</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localSheetId="3" hidden="1">[9]_Control!$A$1:$A$12</definedName>
    <definedName name="gls_GLOSS_MONTHS" hidden="1">[9]_Control!$A$1:$A$12</definedName>
    <definedName name="gls_GW_IN" localSheetId="3" hidden="1">[9]_Control!$D$36</definedName>
    <definedName name="gls_GW_IN" hidden="1">[9]_Control!$D$36</definedName>
    <definedName name="gls_IIAA_IN" localSheetId="3" hidden="1">[9]_Control!$D$37</definedName>
    <definedName name="gls_IIAA_IN" hidden="1">[9]_Control!$D$37</definedName>
    <definedName name="gls_InterimValue" localSheetId="3" hidden="1">[9]_Control!$D$22</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localSheetId="3" hidden="1">[9]_Control!$D$23</definedName>
    <definedName name="gls_LANGUAGE" hidden="1">[9]_Control!$D$23</definedName>
    <definedName name="gls_NEXT_PK" localSheetId="3" hidden="1">[9]_Control!$D$21</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localSheetId="3" hidden="1">[9]_Control!$D$19</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localSheetId="3" hidden="1">[9]_Control!$D$26</definedName>
    <definedName name="gls_SaveBeforePublish" hidden="1">[9]_Control!$D$26</definedName>
    <definedName name="gls_SaveWkbForNewPeriodCodes" localSheetId="3" hidden="1">[9]_Control!$D$28</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localSheetId="3" hidden="1">[9]_Control!$D$1</definedName>
    <definedName name="gls_SHOW_CONTROL_VALUE" hidden="1">[9]_Control!$D$1</definedName>
    <definedName name="gls_SHOW_KEY_VAL_COLUMN" localSheetId="3" hidden="1">[9]_Control!$D$11</definedName>
    <definedName name="gls_SHOW_KEY_VAL_COLUMN" hidden="1">[9]_Control!$D$11</definedName>
    <definedName name="gls_SHOW_KEY_VALUES" localSheetId="3" hidden="1">[9]_Control!$D$8</definedName>
    <definedName name="gls_SHOW_KEY_VALUES" hidden="1">[9]_Control!$D$8</definedName>
    <definedName name="gls_SHOW_LINKED_ITEMS" localSheetId="3" hidden="1">[9]_Control!$D$6</definedName>
    <definedName name="gls_SHOW_LINKED_ITEMS" hidden="1">[9]_Control!$D$6</definedName>
    <definedName name="gls_SHOW_LOCAL_NAMES" localSheetId="3" hidden="1">[9]_Control!$D$2</definedName>
    <definedName name="gls_SHOW_LOCAL_NAMES" hidden="1">[9]_Control!$D$2</definedName>
    <definedName name="gls_SHOW_MULTIPLIERS" localSheetId="3" hidden="1">[9]_Control!$D$7</definedName>
    <definedName name="gls_SHOW_MULTIPLIERS" hidden="1">[9]_Control!$D$7</definedName>
    <definedName name="gls_SHOW_PK_COLUMN" localSheetId="3" hidden="1">[9]_Control!$D$5</definedName>
    <definedName name="gls_SHOW_PK_COLUMN" hidden="1">[9]_Control!$D$5</definedName>
    <definedName name="gls_SHOW_STATUS_INFORMATION" localSheetId="3" hidden="1">[9]_Control!$D$3</definedName>
    <definedName name="gls_SHOW_STATUS_INFORMATION" hidden="1">[9]_Control!$D$3</definedName>
    <definedName name="gls_SHOW_UNITS" localSheetId="3" hidden="1">[9]_Control!$D$4</definedName>
    <definedName name="gls_SHOW_UNITS" hidden="1">[9]_Control!$D$4</definedName>
    <definedName name="gls_SPARE_YEARS" hidden="1">#REF!</definedName>
    <definedName name="gls_SPECIAL_DIALOG" localSheetId="3" hidden="1">[9]_Control!$D$49</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localSheetId="3" hidden="1">[9]_Control!$D$20</definedName>
    <definedName name="gls_StockTicker" hidden="1">[9]_Control!$D$20</definedName>
    <definedName name="gls_TEMP_PERIOD_CODE" hidden="1">#REF!</definedName>
    <definedName name="gls_THISWORKBOOK_NAME" localSheetId="3" hidden="1">[9]_Control!$D$18</definedName>
    <definedName name="gls_THISWORKBOOK_NAME" hidden="1">[9]_Control!$D$18</definedName>
    <definedName name="gls_UNUSUAL_POS" localSheetId="3" hidden="1">[9]_Control!$D$40</definedName>
    <definedName name="gls_UNUSUAL_POS" hidden="1">[9]_Control!$D$40</definedName>
    <definedName name="gls_USER_CELL_FORMAT" localSheetId="3" hidden="1">[9]_Control!$D$51</definedName>
    <definedName name="gls_USER_CELL_FORMAT" hidden="1">[9]_Control!$D$51</definedName>
    <definedName name="gls_USING_CONSOLIDATED" localSheetId="3" hidden="1">[9]_Control!$D$34</definedName>
    <definedName name="gls_USING_CONSOLIDATED" hidden="1">[9]_Control!$D$34</definedName>
    <definedName name="gls_YEAR_AE_CONTROL" hidden="1">#REF!</definedName>
    <definedName name="gls_YEAR_END_ROW" hidden="1">#REF!</definedName>
    <definedName name="gls_YetToRunStartupWizard" localSheetId="3" hidden="1">[9]_Control!$D$29</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3" hidden="1">43872.5396759259</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localSheetId="3" hidden="1">[11]table!#REF!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localSheetId="3" hidden="1">[11]table!#REF!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localSheetId="3" hidden="1">[11]table!#REF!</definedName>
    <definedName name="Tigr_Exhibitb4317050_8e37_410d_9395_60290cc834c2" hidden="1">[11]table!#REF!</definedName>
    <definedName name="Tigr_Exhibitb6a2f72d_5780_438a_bc18_ddfdc55327ab" hidden="1">#REF!</definedName>
    <definedName name="Tigr_Exhibitc2fe1ca1_6833_4470_a00b_0b31a20ce419" localSheetId="3" hidden="1">[11]table!#REF!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localSheetId="3" hidden="1">[11]table!#REF!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localSheetId="3" hidden="1" xml:space="preserve">    '[12]25 energy performance'!$B$7</definedName>
    <definedName name="TRNR_009f5003b0f74013b8a5778bf8c40b5e_114_4" hidden="1" xml:space="preserve">    '[12]25 energy performance'!$B$7</definedName>
    <definedName name="TRNR_01e02471d7604ee88f2e36cadd8f094d_354_2" hidden="1">#REF!</definedName>
    <definedName name="TRNR_023df90456774c4babbeba2a51298872_184_0" localSheetId="3" hidden="1">'[13]Price move from peak'!#REF!</definedName>
    <definedName name="TRNR_023df90456774c4babbeba2a51298872_184_0" hidden="1">'[13]Price move from peak'!#REF!</definedName>
    <definedName name="TRNR_02571366124c4be8a90baec84b360a6f_808_4" localSheetId="3" hidden="1" xml:space="preserve">                        '[14]Front end repricing'!$E$2</definedName>
    <definedName name="TRNR_02571366124c4be8a90baec84b360a6f_808_4" hidden="1" xml:space="preserve">                        '[14]Front end repricing'!$E$2</definedName>
    <definedName name="TRNR_02c5ed77fc674760bb39ca5f1999a853_131_3" localSheetId="3" hidden="1" xml:space="preserve">                        '[15]Forward Earnings'!$A$1</definedName>
    <definedName name="TRNR_02c5ed77fc674760bb39ca5f1999a853_131_3" hidden="1" xml:space="preserve">                        '[15]Forward Earnings'!$A$1</definedName>
    <definedName name="TRNR_02d9f7785fc240e3b9f78371ef301d31_184_0" localSheetId="3" hidden="1">'[13]Price move from peak'!#REF!</definedName>
    <definedName name="TRNR_02d9f7785fc240e3b9f78371ef301d31_184_0" hidden="1">'[13]Price move from peak'!#REF!</definedName>
    <definedName name="TRNR_02fb48280ee148ea8ce5a53d1af52471_133_1" localSheetId="3" hidden="1" xml:space="preserve">                        '[14]Core PCE YoY'!$A$1</definedName>
    <definedName name="TRNR_02fb48280ee148ea8ce5a53d1af52471_133_1" hidden="1" xml:space="preserve">                        '[14]Core PCE YoY'!$A$1</definedName>
    <definedName name="TRNR_03330a6294b94741b7463e8bd998c237_132_0" localSheetId="3" hidden="1">'[13]Price move from peak'!#REF!</definedName>
    <definedName name="TRNR_03330a6294b94741b7463e8bd998c237_132_0" hidden="1">'[13]Price move from peak'!#REF!</definedName>
    <definedName name="TRNR_033bc21edfbf433095a7619eb48b7b2a_2_6" hidden="1">#REF!</definedName>
    <definedName name="TRNR_03a8e3d59832403581e4d9ffffa5a9dc_52_2" localSheetId="3" hidden="1" xml:space="preserve">                                                                                        '[16]2 equity bond scatter'!$B$7</definedName>
    <definedName name="TRNR_03a8e3d59832403581e4d9ffffa5a9dc_52_2" hidden="1" xml:space="preserve">                                                                                        '[16]2 equity bond scatter'!$B$7</definedName>
    <definedName name="TRNR_03b5b758e87049098cfea1146a22f2bb_262_2" hidden="1">#REF!</definedName>
    <definedName name="TRNR_03d2d266c69d48cc8a1af23df1ad8ad8_713_3" localSheetId="3" hidden="1" xml:space="preserve">                        '[17]Yield breakdown'!$B$4</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localSheetId="3" hidden="1" xml:space="preserve">                                                                                                                                '[16]2 equity bond scatter'!$Q$5</definedName>
    <definedName name="TRNR_05d8e688f8be4c29a2b24f7f2bc4323d_1_1" hidden="1" xml:space="preserve">                                                                                                                                '[16]2 equity bond scatter'!$Q$5</definedName>
    <definedName name="TRNR_06452938cc28454d8730b4afd5d8a300_52_2" localSheetId="3" hidden="1" xml:space="preserve">                                        '[16]2 equity bond scatter'!$B$7</definedName>
    <definedName name="TRNR_06452938cc28454d8730b4afd5d8a300_52_2" hidden="1" xml:space="preserve">                                        '[16]2 equity bond scatter'!$B$7</definedName>
    <definedName name="TRNR_0695b177738b4d2bbe532564186a8d63_42_0" localSheetId="3" hidden="1">'[13]Price move from peak'!#REF!</definedName>
    <definedName name="TRNR_0695b177738b4d2bbe532564186a8d63_42_0" hidden="1">'[13]Price move from peak'!#REF!</definedName>
    <definedName name="TRNR_069d482229be49c3a4454968e8b95def_2611_3" hidden="1">#REF!</definedName>
    <definedName name="TRNR_06b69a8c01b6485aabbb4da7f45496a8_131_4" localSheetId="3" hidden="1" xml:space="preserve">                        '[18]Forward Earnings'!$A$1</definedName>
    <definedName name="TRNR_06b69a8c01b6485aabbb4da7f45496a8_131_4" hidden="1" xml:space="preserve">                        '[18]Forward Earnings'!$A$1</definedName>
    <definedName name="TRNR_06fc6e6aefeb461d88957e02f07fc87a_354_2" hidden="1">#REF!</definedName>
    <definedName name="TRNR_06fcd81e21b249c1b9179115cbc8c7ae_204_11" localSheetId="3" hidden="1">[19]Yields!#REF!</definedName>
    <definedName name="TRNR_06fcd81e21b249c1b9179115cbc8c7ae_204_11" hidden="1">[20]Yields!#REF!</definedName>
    <definedName name="TRNR_08b994993ca74a6997af161f4e3028ed_285_0" hidden="1">#REF!</definedName>
    <definedName name="TRNR_0927a714a696439f883008e70eac0026_132_0" localSheetId="3" hidden="1">'[13]Price move from peak'!#REF!</definedName>
    <definedName name="TRNR_0927a714a696439f883008e70eac0026_132_0" hidden="1">'[13]Price move from peak'!#REF!</definedName>
    <definedName name="TRNR_0952e1325265498e822e7671e5b52f14_24_2" hidden="1">#REF!</definedName>
    <definedName name="TRNR_09961c64069d405e8fc7af5e7050e754_86_3" localSheetId="3" hidden="1" xml:space="preserve">                          '[21]P9 Margins'!$B$9</definedName>
    <definedName name="TRNR_09961c64069d405e8fc7af5e7050e754_86_3" hidden="1" xml:space="preserve">                          '[21]P9 Margins'!$B$9</definedName>
    <definedName name="TRNR_09ec4f68ed5c4963a85fd07d7ac370a3_354_2" hidden="1">#REF!</definedName>
    <definedName name="TRNR_0a528f8b24f94d04882519bcd4c4c374_53_3" localSheetId="3" hidden="1" xml:space="preserve">                                                                                    '[16]2 equity bond scatter'!$G$7</definedName>
    <definedName name="TRNR_0a528f8b24f94d04882519bcd4c4c374_53_3" hidden="1" xml:space="preserve">                                                                                    '[16]2 equity bond scatter'!$G$7</definedName>
    <definedName name="TRNR_0a90e5cf5ef44b68bda7723c7a7132e7_184_1" localSheetId="3" hidden="1">'[13]Price move from peak'!#REF!</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localSheetId="3" hidden="1" xml:space="preserve">                                                                                                                                                                                                  '[22]P3 Equity Bond returns'!$N$5</definedName>
    <definedName name="TRNR_0b9e5a0c11414b5c96ebf68ca1a51260_1_1" hidden="1" xml:space="preserve">                                                                                                                                                                                                  '[22]P3 Equity Bond returns'!$N$5</definedName>
    <definedName name="TRNR_0bcc0200341b4c3d891a3a123cd005ad_713_3" localSheetId="3" hidden="1" xml:space="preserve">                        '[17]Yield breakdown'!$B$4</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localSheetId="3" hidden="1" xml:space="preserve">                                                                                        '[23]19 earnings'!$N$1</definedName>
    <definedName name="TRNR_0d04f28dd6b24959af4624b234968264_122_1" hidden="1" xml:space="preserve">                                                                                        '[23]19 earnings'!$N$1</definedName>
    <definedName name="TRNR_0db19cfbf27a4998b9e6810a85292ff8_522_25" hidden="1">#REF!</definedName>
    <definedName name="TRNR_0dc5eb7bc071459d95a50387909e81a3_1_1" localSheetId="3" hidden="1" xml:space="preserve">                                                                                        '[16]2 equity bond scatter'!$Q$5</definedName>
    <definedName name="TRNR_0dc5eb7bc071459d95a50387909e81a3_1_1" hidden="1" xml:space="preserve">                                                                                        '[16]2 equity bond scatter'!$Q$5</definedName>
    <definedName name="TRNR_0dd083e5f2eb483f934fa1e3a5cfe0a8_103_22" hidden="1">#REF!</definedName>
    <definedName name="TRNR_0e2928f722444093be5ca2f5aa65e453_1_1" localSheetId="3" hidden="1" xml:space="preserve">                        '[24]US rate paths'!$C$5</definedName>
    <definedName name="TRNR_0e2928f722444093be5ca2f5aa65e453_1_1" hidden="1" xml:space="preserve">                        '[24]US rate paths'!$C$5</definedName>
    <definedName name="TRNR_0e4e8dcdf25c4ee386e8ecc609aed7cf_9767_2" hidden="1">#REF!</definedName>
    <definedName name="TRNR_0e9f7e2b95934d50b7c9202e6ae70d7d_1_1" localSheetId="3" hidden="1" xml:space="preserve">                                                                                                                '[16]2 equity bond scatter'!$Q$5</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localSheetId="3" hidden="1" xml:space="preserve">                            '[12]25 energy performance'!#REF!</definedName>
    <definedName name="TRNR_0f42e7950da8458ca981da53f3783240_2_1" hidden="1" xml:space="preserve">                            '[12]25 energy performance'!#REF!</definedName>
    <definedName name="TRNR_0f8192d927ed431994b4120977d394be_1_16" hidden="1">#REF!</definedName>
    <definedName name="TRNR_0fe186b5c0684094a7a449ad8601a4c9_53_3" localSheetId="3" hidden="1" xml:space="preserve">                                                                                        '[16]2 equity bond scatter'!$G$7</definedName>
    <definedName name="TRNR_0fe186b5c0684094a7a449ad8601a4c9_53_3" hidden="1" xml:space="preserve">                                                                                        '[16]2 equity bond scatter'!$G$7</definedName>
    <definedName name="TRNR_103fade85aad429c9392d37a18c76ba1_329_4" localSheetId="3" hidden="1">'[25]Regional PE Ratios'!#REF!</definedName>
    <definedName name="TRNR_103fade85aad429c9392d37a18c76ba1_329_4" hidden="1">'[25]Regional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localSheetId="3" hidden="1" xml:space="preserve">                                                                                                                '[23]20 earnings growth'!$C$124</definedName>
    <definedName name="TRNR_1248fe869bb54a06bb44f19171fdf55a_5_3" hidden="1" xml:space="preserve">                                                                                                                '[23]20 earnings growth'!$C$124</definedName>
    <definedName name="TRNR_124e6eaf16444d1389b5b24d758b019f_284_1" localSheetId="3" hidden="1" xml:space="preserve">                                                '[16]5 reallocation'!$R$3</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localSheetId="3" hidden="1" xml:space="preserve">                                                                                                                                                                        '[22]P8 Commodity prices'!$AK$4</definedName>
    <definedName name="TRNR_12ad6a2b00024bfeb3a250aa0fb21094_3_0" hidden="1" xml:space="preserve">                                                                                                                                                                        '[22]P8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localSheetId="3" hidden="1">'[13]Price move from peak'!#REF!</definedName>
    <definedName name="TRNR_1348913699b549c9a461c17555e758f6_42_0" hidden="1">'[13]Price move from peak'!#REF!</definedName>
    <definedName name="TRNR_13bafd09ca3a449cab60a2022fd43149_53_3" localSheetId="3" hidden="1" xml:space="preserve">                                                                                      '[16]2 equity bond scatter'!$G$7</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localSheetId="3" hidden="1" xml:space="preserve">                                            '[16]2 equity bond scatter'!$B$7</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localSheetId="3" hidden="1" xml:space="preserve">                                  '[16]2 equity bond scatter'!$B$7</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localSheetId="3" hidden="1" xml:space="preserve">                                            '[16]2 equity bond scatter'!$N$5</definedName>
    <definedName name="TRNR_188f382276504567996caf1401f83a08_1_1" hidden="1" xml:space="preserve">                                            '[16]2 equity bond scatter'!$N$5</definedName>
    <definedName name="TRNR_1901f7631c054956846696055358198c_1_1" localSheetId="3" hidden="1" xml:space="preserve">                              '[21]P9 Margins'!$I$2</definedName>
    <definedName name="TRNR_1901f7631c054956846696055358198c_1_1" hidden="1" xml:space="preserve">                              '[21]P9 Margins'!$I$2</definedName>
    <definedName name="TRNR_19033554cf8e4903926214cc052aeea0_1464_1" localSheetId="3" hidden="1">'[26]Market Overview'!#REF!</definedName>
    <definedName name="TRNR_19033554cf8e4903926214cc052aeea0_1464_1" hidden="1">'[26]Market Overview'!#REF!</definedName>
    <definedName name="TRNR_194ba81d102f41d3bccbd07c26674d0d_52_2" localSheetId="3" hidden="1" xml:space="preserve">                                            '[16]2 equity bond scatter'!$B$7</definedName>
    <definedName name="TRNR_194ba81d102f41d3bccbd07c26674d0d_52_2" hidden="1" xml:space="preserve">                                            '[16]2 equity bond scatter'!$B$7</definedName>
    <definedName name="TRNR_198d2498a5c649bf857c9860e6cefb20_109_2" hidden="1">#REF!</definedName>
    <definedName name="TRNR_19b02aba1ccf475a976fcc4261897ad0_132_0" localSheetId="3" hidden="1">'[13]Price move from peak'!#REF!</definedName>
    <definedName name="TRNR_19b02aba1ccf475a976fcc4261897ad0_132_0" hidden="1">'[13]Price move from peak'!#REF!</definedName>
    <definedName name="TRNR_1a76fc0d6eee4af98ea855de11850adc_630_1" localSheetId="3" hidden="1">'[27]Consumer confidence'!#REF!</definedName>
    <definedName name="TRNR_1a76fc0d6eee4af98ea855de11850adc_630_1" hidden="1">'[27]Consumer confidence'!#REF!</definedName>
    <definedName name="TRNR_1a923f58b83d4c67ba99fd5e918b0e1e_522_1" hidden="1">#REF!</definedName>
    <definedName name="TRNR_1ab45169b7dd45d3bb3b69f865cb617d_184_0" localSheetId="3" hidden="1">'[13]Price move from peak'!#REF!</definedName>
    <definedName name="TRNR_1ab45169b7dd45d3bb3b69f865cb617d_184_0" hidden="1">'[13]Price move from peak'!#REF!</definedName>
    <definedName name="TRNR_1b32cca261544e789ac267db2f3c49ce_7_1" localSheetId="3" hidden="1" xml:space="preserve">                                                 '[16]7 Bev curve'!$B$9</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localSheetId="3" hidden="1" xml:space="preserve">                                                                                                                                                                                  '[22]P6 Cutting through confusion'!#REF!</definedName>
    <definedName name="TRNR_1e1a605c109644a28df4b279a05d0d0a_13_1" hidden="1" xml:space="preserve">                                                                                                                                                                                  '[22]P6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localSheetId="3" hidden="1" xml:space="preserve">                        '[16]2 equity bond scatter'!$G$7</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localSheetId="3" hidden="1">'[13]Price move from peak'!#REF!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localSheetId="3" hidden="1" xml:space="preserve">                                                                                                                '[16]2 equity bond scatter'!$Q$5</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localSheetId="3" hidden="1" xml:space="preserve">                                                                                                                '[23]14 US unemployment'!$A$6</definedName>
    <definedName name="TRNR_269ee402894640b286824878af79dd82_266_2" hidden="1" xml:space="preserve">                                                                                                                '[23]14 US unemployment'!$A$6</definedName>
    <definedName name="TRNR_26fed1823d48472b8319729a82598fbf_109_2" hidden="1">#REF!</definedName>
    <definedName name="TRNR_270da73763444de48994778ed1d564a1_119_1" localSheetId="3" hidden="1" xml:space="preserve">                        '[23]19 earnings'!$A$1</definedName>
    <definedName name="TRNR_270da73763444de48994778ed1d564a1_119_1" hidden="1" xml:space="preserve">                        '[23]19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localSheetId="3" hidden="1" xml:space="preserve">                                                  '[16]2 equity bond scatter'!$Q$5</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localSheetId="3" hidden="1" xml:space="preserve">                        '[24]US rate paths'!$C$5</definedName>
    <definedName name="TRNR_280e7e69613f4b2e99987b422ef6900c_1305_1" hidden="1" xml:space="preserve">                        '[24]US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localSheetId="3" hidden="1" xml:space="preserve">                                                                                                                '[23]22 5y5y inflation vs  10y'!$BF$6</definedName>
    <definedName name="TRNR_29198288034e41a58aac8ec8a3571f5f_264_2" hidden="1" xml:space="preserve">                                                                                                                '[23]22 5y5y inflation vs  10y'!$BF$6</definedName>
    <definedName name="TRNR_294f83ab00fc48149300a65a899e91f7_192_2" hidden="1">#REF!</definedName>
    <definedName name="TRNR_2a696123317a41e29034659c22f501a3_132_3" localSheetId="3" hidden="1" xml:space="preserve">                                            '[16]23 EM perf'!$C$8</definedName>
    <definedName name="TRNR_2a696123317a41e29034659c22f501a3_132_3" hidden="1" xml:space="preserve">                                            '[16]23 EM perf'!$C$8</definedName>
    <definedName name="TRNR_2a7528d46a39412c9fd5070d25f30b31_7757_1" localSheetId="3" hidden="1" xml:space="preserve">                        '[17]US rate path'!$B$4</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localSheetId="3" hidden="1" xml:space="preserve">                                                                        '[16]2 equity bond scatter'!$N$5</definedName>
    <definedName name="TRNR_2b53265c98684c0e905ec95f0f1b5911_1_1" hidden="1" xml:space="preserve">                                                                        '[16]2 equity bond scatter'!$N$5</definedName>
    <definedName name="TRNR_2b67df83cf7940c4b962ab45fa198f2a_132_0" localSheetId="3" hidden="1">'[13]Price move from peak'!#REF!</definedName>
    <definedName name="TRNR_2b67df83cf7940c4b962ab45fa198f2a_132_0" hidden="1">'[13]Price move from peak'!#REF!</definedName>
    <definedName name="TRNR_2b6e5039832743fd974a2f04c0fd10b5_132_0" localSheetId="3" hidden="1">'[13]Price move from peak'!#REF!</definedName>
    <definedName name="TRNR_2b6e5039832743fd974a2f04c0fd10b5_132_0" hidden="1">'[13]Price move from peak'!#REF!</definedName>
    <definedName name="TRNR_2bb90b0fcd824806a0cbb2df13e6b733_1_1" localSheetId="3" hidden="1" xml:space="preserve">                                '[16]2 equity bond scatter'!$Q$5</definedName>
    <definedName name="TRNR_2bb90b0fcd824806a0cbb2df13e6b733_1_1" hidden="1" xml:space="preserve">                                '[16]2 equity bond scatter'!$Q$5</definedName>
    <definedName name="TRNR_2bdd2c04bcd248898d2c0cd90bbb5168_128_1" localSheetId="3" hidden="1" xml:space="preserve">                                                                                                                                                                          '[22]P6 Cutting through confusion'!#REF!</definedName>
    <definedName name="TRNR_2bdd2c04bcd248898d2c0cd90bbb5168_128_1" hidden="1" xml:space="preserve">                                                                                                                                                                          '[22]P6 Cutting through confusion'!#REF!</definedName>
    <definedName name="TRNR_2c6d8d93a4ba4952bfd1db3f7d33d432_1_2" hidden="1">#REF!</definedName>
    <definedName name="TRNR_2ca21ab43de245eeb1fae09e0b883ebe_629_2" hidden="1">#REF!</definedName>
    <definedName name="TRNR_2cba9cf7785e4db8bbdd10d9ddd1b478_53_3" localSheetId="3" hidden="1" xml:space="preserve">                                                                                      '[16]2 equity bond scatter'!$G$7</definedName>
    <definedName name="TRNR_2cba9cf7785e4db8bbdd10d9ddd1b478_53_3" hidden="1" xml:space="preserve">                                                                                      '[16]2 equity bond scatter'!$G$7</definedName>
    <definedName name="TRNR_2d1fa54fe8a14643a5fd5ae6e6be3c78_1_1" localSheetId="3" hidden="1" xml:space="preserve">                                            '[16]2 equity bond scatter'!$Q$5</definedName>
    <definedName name="TRNR_2d1fa54fe8a14643a5fd5ae6e6be3c78_1_1" hidden="1" xml:space="preserve">                                            '[16]2 equity bond scatter'!$Q$5</definedName>
    <definedName name="TRNR_2d2afd9413aa48fb948263f718b766ad_264_2" localSheetId="3" hidden="1" xml:space="preserve">                                                                                                                '[23]22 5y5y inflation vs  10y'!$BA$6</definedName>
    <definedName name="TRNR_2d2afd9413aa48fb948263f718b766ad_264_2" hidden="1" xml:space="preserve">                                                                                                                '[23]22 5y5y inflation vs  10y'!$BA$6</definedName>
    <definedName name="TRNR_2d6d5bbcee404431bfaf5e9707f29e3f_919_3" localSheetId="3" hidden="1" xml:space="preserve">                             '[16]21 yield breakdown'!$C$5</definedName>
    <definedName name="TRNR_2d6d5bbcee404431bfaf5e9707f29e3f_919_3" hidden="1" xml:space="preserve">                             '[16]21 yield breakdown'!$C$5</definedName>
    <definedName name="TRNR_2dd106e25d4644ebb2fe0459e60c5f7c_131_3" hidden="1">#REF!</definedName>
    <definedName name="TRNR_2e9c842a04e64cb1a3a190f7c7700194_1527_1" localSheetId="3" hidden="1" xml:space="preserve">                        '[28]One-week repo'!$B$4</definedName>
    <definedName name="TRNR_2e9c842a04e64cb1a3a190f7c7700194_1527_1" hidden="1" xml:space="preserve">                        '[28]One-week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localSheetId="3" hidden="1" xml:space="preserve">                                                                                                                                                                                          '[22]P3 Equity Bond returns'!$B$7</definedName>
    <definedName name="TRNR_2f6cf7c3e5e040be89495bff9e403669_51_2" hidden="1" xml:space="preserve">                                                                                                                                                                                          '[22]P3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localSheetId="3" hidden="1" xml:space="preserve">                                                '[14]UW US Treasuries'!$B$6</definedName>
    <definedName name="TRNR_2fd4f8a6f5864cf28fd3bb6110e85361_627_3" hidden="1" xml:space="preserve">                                                '[14]UW US Treasuries'!$B$6</definedName>
    <definedName name="TRNR_30070d0fe59b4abfa879c284e02ddb26_3_2" hidden="1">#REF!</definedName>
    <definedName name="TRNR_30742d257990456395b2ef7ac651c384_184_0" localSheetId="3" hidden="1">'[13]Price move from peak'!#REF!</definedName>
    <definedName name="TRNR_30742d257990456395b2ef7ac651c384_184_0" hidden="1">'[13]Price move from peak'!#REF!</definedName>
    <definedName name="TRNR_3076cc4e0d7349728097981da1da70be_192_1" localSheetId="3" hidden="1" xml:space="preserve">                                                                                                                                                              '[22]P5 Living with inflation'!$S$2</definedName>
    <definedName name="TRNR_3076cc4e0d7349728097981da1da70be_192_1" hidden="1" xml:space="preserve">                                                                                                                                                              '[22]P5 Living with inflation'!$S$2</definedName>
    <definedName name="TRNR_30e265b973044369b1c1a4b6f5cff15c_5_3" localSheetId="3" hidden="1" xml:space="preserve">                                                                                                                '[23]20 earnings growth'!$C$124</definedName>
    <definedName name="TRNR_30e265b973044369b1c1a4b6f5cff15c_5_3" hidden="1" xml:space="preserve">                                                                                                                '[23]20 earnings growth'!$C$124</definedName>
    <definedName name="TRNR_316abb6abe04402d826aba4b30e591aa_147_4" localSheetId="3" hidden="1" xml:space="preserve">                                                                                        '[23]10 US PCE'!$A$2</definedName>
    <definedName name="TRNR_316abb6abe04402d826aba4b30e591aa_147_4" hidden="1" xml:space="preserve">                                                                                        '[23]10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localSheetId="3" hidden="1">'[13]Price move from peak'!#REF!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localSheetId="3" hidden="1" xml:space="preserve">                                                                                                                '[23]13 Labor market'!$A$6</definedName>
    <definedName name="TRNR_355091f948b34062b7dca7762466a9e9_50_2" hidden="1" xml:space="preserve">                                                                                                                '[23]13 Labor market'!$A$6</definedName>
    <definedName name="TRNR_3555682d4fa14f9d8e6c8c70b111846a_42_0" localSheetId="3" hidden="1">'[13]Price move from peak'!#REF!</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localSheetId="3" hidden="1" xml:space="preserve">                        '[23]20 earnings growth'!$R$1</definedName>
    <definedName name="TRNR_374d28037bf24ad086df32e2fe402fb3_131_6" hidden="1" xml:space="preserve">                        '[23]20 earnings growth'!$R$1</definedName>
    <definedName name="TRNR_37c7dffb11a44814b835c0be79db784b_52_2" localSheetId="3" hidden="1" xml:space="preserve">                                  '[16]2 equity bond scatter'!$B$7</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localSheetId="3" hidden="1">'[29]Gov. Bond Returns YTD'!#REF!</definedName>
    <definedName name="TRNR_3aef964708a541caadaacac75ab1af07_23_3" hidden="1">'[29]Gov. Bond Returns YTD'!#REF!</definedName>
    <definedName name="TRNR_3b45c693a95b4f78acb6c94ea7b1ecee_26_1" hidden="1">#REF!</definedName>
    <definedName name="TRNR_3b4bc04d41a74750bcfd76421bf75593_53_3" localSheetId="3" hidden="1" xml:space="preserve">                                                                                      '[16]2 equity bond scatter'!$G$7</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localSheetId="3" hidden="1" xml:space="preserve">                                                                                                                '[23]13 Labor market'!$A$6</definedName>
    <definedName name="TRNR_3caec76bcea645c09a727fb817ac6b43_50_2" hidden="1" xml:space="preserve">                                                                                                                '[23]13 Labor market'!$A$6</definedName>
    <definedName name="TRNR_3cc26214bbd349508b589d4757e02d29_7756_1" localSheetId="3" hidden="1" xml:space="preserve">                        '[24]US rate paths'!$N$6</definedName>
    <definedName name="TRNR_3cc26214bbd349508b589d4757e02d29_7756_1" hidden="1" xml:space="preserve">                        '[24]US rate paths'!$N$6</definedName>
    <definedName name="TRNR_3cdd1fcbb7a3440d9fec564aae4e83e8_198_3" hidden="1">#REF!</definedName>
    <definedName name="TRNR_3d04cad8e52a4d18ba2b433ffa97dc3c_2_1" hidden="1">#REF!</definedName>
    <definedName name="TRNR_3d369e897c0a449294786058f79fb54d_132_0" localSheetId="3" hidden="1">'[13]Price move from peak'!#REF!</definedName>
    <definedName name="TRNR_3d369e897c0a449294786058f79fb54d_132_0" hidden="1">'[13]Price move from peak'!#REF!</definedName>
    <definedName name="TRNR_3db93553dbbc4699b1940078f798f2a3_3_2" hidden="1">#REF!</definedName>
    <definedName name="TRNR_3dc268b817ad4f4cb661080963a7cc27_53_3" localSheetId="3" hidden="1" xml:space="preserve">                                            '[16]2 equity bond scatter'!$G$7</definedName>
    <definedName name="TRNR_3dc268b817ad4f4cb661080963a7cc27_53_3" hidden="1" xml:space="preserve">                                            '[16]2 equity bond scatter'!$G$7</definedName>
    <definedName name="TRNR_3e58bba7bdf0464e9599ead80862155a_2610_3" hidden="1">#REF!</definedName>
    <definedName name="TRNR_3e5da22a202543d881e0fb0ad7405842_109_2" localSheetId="3" hidden="1" xml:space="preserve">                                                  '[16]3 Timeline'!$D$4</definedName>
    <definedName name="TRNR_3e5da22a202543d881e0fb0ad7405842_109_2" hidden="1" xml:space="preserve">                                                  '[16]3 Timeline'!$D$4</definedName>
    <definedName name="TRNR_3e907f26e53143908b36d5686a4a5729_3_0" localSheetId="3" hidden="1" xml:space="preserve">            '[22]P8 Commodity prices'!$AJ$4</definedName>
    <definedName name="TRNR_3e907f26e53143908b36d5686a4a5729_3_0" hidden="1" xml:space="preserve">            '[22]P8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localSheetId="3" hidden="1">'[13]Price move from peak'!#REF!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localSheetId="3" hidden="1" xml:space="preserve">                                                                                                                '[23]13 Labor market'!$A$6</definedName>
    <definedName name="TRNR_41243149c5d6487d9276ae7d1e2477d4_50_2" hidden="1" xml:space="preserve">                                                                                                                '[23]13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localSheetId="3" hidden="1" xml:space="preserve">                                                  '[16]2 equity bond scatter'!$Q$5</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localSheetId="3" hidden="1" xml:space="preserve">                                                                                                                '[16]2 equity bond scatter'!$N$5</definedName>
    <definedName name="TRNR_43cdc442ec00411793b7e9a51995d1a3_1_1" hidden="1" xml:space="preserve">                                                                                                                '[16]2 equity bond scatter'!$N$5</definedName>
    <definedName name="TRNR_43fbbb80c0cb49859f5b9d1f44f515d4_62_2" localSheetId="3" hidden="1" xml:space="preserve">                                                                                                                '[23]22 5y5y inflation vs  10y'!$BA$6</definedName>
    <definedName name="TRNR_43fbbb80c0cb49859f5b9d1f44f515d4_62_2" hidden="1" xml:space="preserve">                                                                                                                '[23]22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localSheetId="3" hidden="1">'[13]Price move from peak'!#REF!</definedName>
    <definedName name="TRNR_45c262c7e40e4e9996cfb192b3ae6adf_184_0" hidden="1">'[13]Price move from peak'!#REF!</definedName>
    <definedName name="TRNR_4644f0c9bb7e46b78523452b78c1d2ea_329_4" localSheetId="3" hidden="1">'[25]Regional PE Ratios'!#REF!</definedName>
    <definedName name="TRNR_4644f0c9bb7e46b78523452b78c1d2ea_329_4" hidden="1">'[25]Regional PE Ratios'!#REF!</definedName>
    <definedName name="TRNR_46889d88e84f4b4787c95eb494953ed2_3_2" localSheetId="3" hidden="1" xml:space="preserve">                                                '[22]P8 Commodity prices'!$AG$4</definedName>
    <definedName name="TRNR_46889d88e84f4b4787c95eb494953ed2_3_2" hidden="1" xml:space="preserve">                                                '[22]P8 Commodity prices'!$AG$4</definedName>
    <definedName name="TRNR_46c0c0f770a14473a6160e5ae28f53d7_634_1" hidden="1">#REF!</definedName>
    <definedName name="TRNR_4783304536c44c19b10448628d3c2eeb_52_2" localSheetId="3" hidden="1" xml:space="preserve">                                  '[16]2 equity bond scatter'!$B$7</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localSheetId="3" hidden="1" xml:space="preserve">                                                                                                                '[23]13 Labor market'!$A$6</definedName>
    <definedName name="TRNR_4ac2a7f0eab64692a92bc18b07a0bee8_50_1" hidden="1" xml:space="preserve">                                                                                                                '[23]13 Labor market'!$A$6</definedName>
    <definedName name="TRNR_4b7a7b2d8617470c8487d9a011b16fd0_1388_5" hidden="1">#REF!</definedName>
    <definedName name="TRNR_4b99625cbf3b45cdbfdb03ce3202ae3a_181_3" localSheetId="3" hidden="1">'[30]Chart of the week'!$C$9</definedName>
    <definedName name="TRNR_4b99625cbf3b45cdbfdb03ce3202ae3a_181_3" hidden="1">'[30]Chart of the week'!$C$9</definedName>
    <definedName name="TRNR_4c0bc3da268c4b3cb79adf5484d27a0b_3_2" hidden="1">#REF!</definedName>
    <definedName name="TRNR_4c5de5a3e1eb4800829d3221c18df623_99_2" hidden="1">#REF!</definedName>
    <definedName name="TRNR_4c6897a8a5fc4815b03a00d1fdbd0b6f_136_2" localSheetId="3" hidden="1" xml:space="preserve">                                                  '[16]3 Timeline'!$D$4</definedName>
    <definedName name="TRNR_4c6897a8a5fc4815b03a00d1fdbd0b6f_136_2" hidden="1" xml:space="preserve">                                                  '[16]3 Timeline'!$D$4</definedName>
    <definedName name="TRNR_4c6cc8b0d4bc4f8780d2ca1c9549a125_354_2" hidden="1">#REF!</definedName>
    <definedName name="TRNR_4c97241b6eff4cda84d4c53bf43978cb_808_4" localSheetId="3" hidden="1" xml:space="preserve">                                '[14]Front end repricing'!$E$2</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localSheetId="3" hidden="1">[31]Spreads!#REF!</definedName>
    <definedName name="TRNR_4e4d50783a9140dea2e0f61ec690a188_1693_1" hidden="1">[31]Spreads!#REF!</definedName>
    <definedName name="TRNR_50273989263d4d04a0df1e1bfffa23b1_679_3" localSheetId="3" hidden="1" xml:space="preserve">                                                '[14]UW US Treasuries'!$B$6</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localSheetId="3" hidden="1">'[25]US Earnings Estimates'!#REF!</definedName>
    <definedName name="TRNR_5316ed3f588a4732b91aaa046d24a402_305_9" hidden="1">'[25]US Earnings Estimates'!#REF!</definedName>
    <definedName name="TRNR_53271935cdc142e7ad1798973d4146af_1042_0" localSheetId="3" hidden="1">'[13]Price move from peak'!#REF!</definedName>
    <definedName name="TRNR_53271935cdc142e7ad1798973d4146af_1042_0" hidden="1">'[13]Price move from peak'!#REF!</definedName>
    <definedName name="TRNR_5352a53cfa474fce967ded6690969db2_1_1" localSheetId="3" hidden="1" xml:space="preserve">                                                                                        '[16]2 equity bond scatter'!$Q$5</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localSheetId="3" hidden="1" xml:space="preserve">                                                            '[16]2 equity bond scatter'!$N$5</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localSheetId="3" hidden="1" xml:space="preserve">                                                  '[16]2 equity bond scatter'!$Q$5</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localSheetId="3" hidden="1">'[13]Price move from peak'!#REF!</definedName>
    <definedName name="TRNR_5730b404b11e4e1f9475a8ef5d504ea2_184_0" hidden="1">'[13]Price move from peak'!#REF!</definedName>
    <definedName name="TRNR_5824ffb397ac409aa77a78485d39a370_266_3" localSheetId="3" hidden="1" xml:space="preserve">                                                                                                                '[23]14 US unemployment'!$A$6</definedName>
    <definedName name="TRNR_5824ffb397ac409aa77a78485d39a370_266_3" hidden="1" xml:space="preserve">                                                                                                                '[23]14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localSheetId="3" hidden="1" xml:space="preserve">              '[21]P9 Margins'!$B$9</definedName>
    <definedName name="TRNR_59c1c6edeb5a4e9ea45a923e6209de29_253_3" hidden="1" xml:space="preserve">              '[21]P9 Margins'!$B$9</definedName>
    <definedName name="TRNR_59fbab36b9c242078f59dfa447062ca8_122_4" localSheetId="3" hidden="1" xml:space="preserve">                '[23]19 earnings'!$T$1</definedName>
    <definedName name="TRNR_59fbab36b9c242078f59dfa447062ca8_122_4" hidden="1" xml:space="preserve">                '[23]19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localSheetId="3" hidden="1" xml:space="preserve">                        '[24]US rate paths'!$C$5</definedName>
    <definedName name="TRNR_5c2c984d1e3d43c681a69de17dfef63c_1305_1" hidden="1" xml:space="preserve">                        '[24]US rate paths'!$C$5</definedName>
    <definedName name="TRNR_5c52da01777c43b5ba1c7886223f5e16_192_2" hidden="1">#REF!</definedName>
    <definedName name="TRNR_5c902287249148739bdbbd1d1e2a1ceb_232_1" localSheetId="3" hidden="1" xml:space="preserve">  '[21]P10 FF Geopolitics'!$A$8</definedName>
    <definedName name="TRNR_5c902287249148739bdbbd1d1e2a1ceb_232_1" hidden="1" xml:space="preserve">  '[21]P10 FF Geopolitics'!$A$8</definedName>
    <definedName name="TRNR_5ca5cda8eb9949248e1956b9b1748256_56_2" hidden="1">#REF!</definedName>
    <definedName name="TRNR_5ce8d7bd09214bea8a28adbdd04772f1_99_2" hidden="1">#REF!</definedName>
    <definedName name="TRNR_5d5a2ccea16442cab243464e52ff4835_144_2" localSheetId="3" hidden="1" xml:space="preserve">                                                  '[16]3 Timeline'!$D$4</definedName>
    <definedName name="TRNR_5d5a2ccea16442cab243464e52ff4835_144_2" hidden="1" xml:space="preserve">                                                  '[16]3 Timeline'!$D$4</definedName>
    <definedName name="TRNR_5dd4777b8d9e4755af62fcd6697fb896_305_5" localSheetId="3" hidden="1">'[25]US Earnings Estimates'!#REF!</definedName>
    <definedName name="TRNR_5dd4777b8d9e4755af62fcd6697fb896_305_5" hidden="1">'[25]US Earnings Estimates'!#REF!</definedName>
    <definedName name="TRNR_5f2c83c7772d4fc986bba8bbfe5fd511_1573_2" localSheetId="3" hidden="1" xml:space="preserve">                                                                                                                '[23]19 RealYields'!$V$3</definedName>
    <definedName name="TRNR_5f2c83c7772d4fc986bba8bbfe5fd511_1573_2" hidden="1" xml:space="preserve">                                                                                                                '[23]19 RealYields'!$V$3</definedName>
    <definedName name="TRNR_5f4c6d73522d4d4c94f7ce932d526605_662_2" hidden="1">#REF!</definedName>
    <definedName name="TRNR_5f6a732d58474870a5e08cb4d4ff73d0_522_1" localSheetId="3" hidden="1" xml:space="preserve">                        '[23]19 earnings'!$A$1</definedName>
    <definedName name="TRNR_5f6a732d58474870a5e08cb4d4ff73d0_522_1" hidden="1" xml:space="preserve">                        '[23]19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localSheetId="3" hidden="1" xml:space="preserve">                                                                                                                '[23]22 5y5y inflation vs  10y'!$BF$6</definedName>
    <definedName name="TRNR_6036627395b14131a58ce16ea7cdc2f9_264_2" hidden="1" xml:space="preserve">                                                                                                                '[23]22 5y5y inflation vs  10y'!$BF$6</definedName>
    <definedName name="TRNR_60dc8520a2b9481e9ce828c1319baf7a_52_3" localSheetId="3" hidden="1" xml:space="preserve">                                                                                            '[22]P3 Equity Bond returns'!$G$7</definedName>
    <definedName name="TRNR_60dc8520a2b9481e9ce828c1319baf7a_52_3" hidden="1" xml:space="preserve">                                                                                            '[22]P3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localSheetId="3" hidden="1">'[13]Price move from peak'!#REF!</definedName>
    <definedName name="TRNR_63cdc67117d24d7fae088f0e1398f4c0_184_0" hidden="1">'[13]Price move from peak'!#REF!</definedName>
    <definedName name="TRNR_64374df0ec264481900650681dc3b1c3_132_0" localSheetId="3"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localSheetId="3" hidden="1" xml:space="preserve">                                                                                            '[22]P3 Equity Bond returns'!$Q$5</definedName>
    <definedName name="TRNR_64902412772f46af8f0221301483c56e_1_1" hidden="1" xml:space="preserve">                                                                                            '[22]P3 Equity Bond returns'!$Q$5</definedName>
    <definedName name="TRNR_64999fb5e7004eebaab12e10631e99fc_3_0" hidden="1">#REF!</definedName>
    <definedName name="TRNR_655634f7d8354b3fb37b18a78fa9b1e7_1_1" localSheetId="3" hidden="1" xml:space="preserve">                                                  '[16]2 equity bond scatter'!$Q$5</definedName>
    <definedName name="TRNR_655634f7d8354b3fb37b18a78fa9b1e7_1_1" hidden="1" xml:space="preserve">                                                  '[16]2 equity bond scatter'!$Q$5</definedName>
    <definedName name="TRNR_65b3cce11c524f16a44df6348311387b_919_3" localSheetId="3" hidden="1" xml:space="preserve">                             '[16]21 yield breakdown'!$C$5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localSheetId="3" hidden="1" xml:space="preserve">    '[12]25 energy performance'!$B$7</definedName>
    <definedName name="TRNR_67ced6ea3580423f996025b23cda311f_112_4" hidden="1" xml:space="preserve">    '[12]25 energy performance'!$B$7</definedName>
    <definedName name="TRNR_680c9228ec2343bda2b8bd2373bc84ac_1_1" localSheetId="3" hidden="1" xml:space="preserve">                                                                                        '[16]2 equity bond scatter'!$N$5</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localSheetId="3" hidden="1" xml:space="preserve">                        '[24]US rate paths'!$AC$5</definedName>
    <definedName name="TRNR_6a17e3a051924c399fe0d2e1bdb9452b_357_1" hidden="1" xml:space="preserve">                        '[24]US rate paths'!$AC$5</definedName>
    <definedName name="TRNR_6a61dcbc638a42c591e0b55b4746b5c3_42_0" localSheetId="3" hidden="1">'[13]Price move from peak'!#REF!</definedName>
    <definedName name="TRNR_6a61dcbc638a42c591e0b55b4746b5c3_42_0" hidden="1">'[13]Price move from peak'!#REF!</definedName>
    <definedName name="TRNR_6a6a3ec3632344d7a1faa07a4fcc9a38_179_22" localSheetId="3" hidden="1">[32]Weights!#REF!</definedName>
    <definedName name="TRNR_6a6a3ec3632344d7a1faa07a4fcc9a38_179_22" hidden="1">[32]Weights!#REF!</definedName>
    <definedName name="TRNR_6add998e74364ddd872fb4ad322eea11_1_1" localSheetId="3" hidden="1" xml:space="preserve">                                                                                            '[22]P3 Equity Bond returns'!$N$5</definedName>
    <definedName name="TRNR_6add998e74364ddd872fb4ad322eea11_1_1" hidden="1" xml:space="preserve">                                                                                            '[22]P3 Equity Bond returns'!$N$5</definedName>
    <definedName name="TRNR_6c711747849447bd922369891c55b2b5_1_42" hidden="1">#REF!</definedName>
    <definedName name="TRNR_6c85ce12118a4216bd07e059c72cefba_1_1" localSheetId="3" hidden="1" xml:space="preserve">                                                                                            '[22]P3 Equity Bond returns'!$N$5</definedName>
    <definedName name="TRNR_6c85ce12118a4216bd07e059c72cefba_1_1" hidden="1" xml:space="preserve">                                                                                            '[22]P3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localSheetId="3" hidden="1">'[25]Regional PE Ratios'!#REF!</definedName>
    <definedName name="TRNR_6d965aa59af340afb9a3344f1150346f_329_4" hidden="1">'[25]Regional PE Ratios'!#REF!</definedName>
    <definedName name="TRNR_6df2400bee874d62a0680d23cc3787a6_131_3" localSheetId="3" hidden="1" xml:space="preserve">                        '[23]20 earnings growth'!$R$1</definedName>
    <definedName name="TRNR_6df2400bee874d62a0680d23cc3787a6_131_3" hidden="1" xml:space="preserve">                        '[23]20 earnings growth'!$R$1</definedName>
    <definedName name="TRNR_6f70faec2ef2458a8105a70a43a9947f_95_22" hidden="1">#REF!</definedName>
    <definedName name="TRNR_6f7ccf4b5e4d4d5ebe831159f2ccf167_132_2" localSheetId="3" hidden="1" xml:space="preserve">                                            '[16]18 S&amp;P 2Yr'!$B$10</definedName>
    <definedName name="TRNR_6f7ccf4b5e4d4d5ebe831159f2ccf167_132_2" hidden="1" xml:space="preserve">                                            '[16]18 S&amp;P 2Yr'!$B$10</definedName>
    <definedName name="TRNR_6f9e5815820f4887a1c6bc495b04e3e2_114_4" localSheetId="3" hidden="1" xml:space="preserve">    '[12]25 energy performance'!$B$7</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localSheetId="3" hidden="1" xml:space="preserve">                        '[24]US rate paths'!$AC$5</definedName>
    <definedName name="TRNR_71008636fba644809264811ed87104e5_357_1" hidden="1" xml:space="preserve">                        '[24]US rate paths'!$AC$5</definedName>
    <definedName name="TRNR_71362e39f24d419c942d28d3fa40f223_339_2" hidden="1">#REF!</definedName>
    <definedName name="TRNR_715c57b33d3a447da63bbd75b71d6e2e_354_2" hidden="1">#REF!</definedName>
    <definedName name="TRNR_7304df2a7a824765920c0bccbcef1731_3_0" localSheetId="3" hidden="1" xml:space="preserve">                                                                                                                                                                                                '[22]P8 Commodity prices'!$AJ$4</definedName>
    <definedName name="TRNR_7304df2a7a824765920c0bccbcef1731_3_0" hidden="1" xml:space="preserve">                                                                                                                                                                                                '[22]P8 Commodity prices'!$AJ$4</definedName>
    <definedName name="TRNR_73410f1a86c24ec5b705ea6364235048_1_1" localSheetId="3" hidden="1" xml:space="preserve">                                                                                                                                                                        '[16]2 equity bond scatter'!$N$5</definedName>
    <definedName name="TRNR_73410f1a86c24ec5b705ea6364235048_1_1" hidden="1" xml:space="preserve">                                                                                                                                                                        '[16]2 equity bond scatter'!$N$5</definedName>
    <definedName name="TRNR_73aa6707034747d1b445cfa5e86a7933_121_1" localSheetId="3" hidden="1" xml:space="preserve">                                                                                                                                                            '[23]19 earnings'!$A$1</definedName>
    <definedName name="TRNR_73aa6707034747d1b445cfa5e86a7933_121_1" hidden="1" xml:space="preserve">                                                                                                                                                            '[23]19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localSheetId="3" hidden="1" xml:space="preserve">                        '[17]US rate path'!$B$4</definedName>
    <definedName name="TRNR_74abd1a2669d4f2384b380a77856c256_9322_1" hidden="1" xml:space="preserve">                        '[17]US rate path'!$B$4</definedName>
    <definedName name="TRNR_74f07cf141a74fbeba0eb353c54f6417_120_4" localSheetId="3" hidden="1" xml:space="preserve">                        '[23]19 earnings'!$T$1</definedName>
    <definedName name="TRNR_74f07cf141a74fbeba0eb353c54f6417_120_4" hidden="1" xml:space="preserve">                        '[23]19 earnings'!$T$1</definedName>
    <definedName name="TRNR_7535e262fe72484f8ad08716ce2b993a_132_0" localSheetId="3" hidden="1">'[13]Price move from peak'!#REF!</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localSheetId="3" hidden="1" xml:space="preserve">                                                  '[16]3 Timeline'!$D$4</definedName>
    <definedName name="TRNR_759563a552c949ac89ce7f75be2ed1a8_100_2" hidden="1" xml:space="preserve">                                                  '[16]3 Timeline'!$D$4</definedName>
    <definedName name="TRNR_76184850b03447dab481eeaf54a10332_132_1" localSheetId="3" hidden="1">'[13]Price move from peak'!#REF!</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localSheetId="3" hidden="1" xml:space="preserve">                                                                        '[16]2 equity bond scatter'!$N$5</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localSheetId="3" hidden="1" xml:space="preserve">                                          '[21]P9 Margins'!$I$2</definedName>
    <definedName name="TRNR_79c7f224e8c846ac86e3e1450e5fefec_3_2" hidden="1" xml:space="preserve">                                          '[21]P9 Margins'!$I$2</definedName>
    <definedName name="TRNR_79f06be8afab4a7485c8dfd245cc8958_3_2" hidden="1">#REF!</definedName>
    <definedName name="TRNR_7a729fde92ba4d2196156d2274193bd8_264_2" localSheetId="3" hidden="1" xml:space="preserve">                                                                                                                '[23]22 5y5y inflation vs  10y'!$BA$6</definedName>
    <definedName name="TRNR_7a729fde92ba4d2196156d2274193bd8_264_2" hidden="1" xml:space="preserve">                                                                                                                '[23]22 5y5y inflation vs  10y'!$BA$6</definedName>
    <definedName name="TRNR_7a8fc1d01c5e40eaaa4f04130959eddd_68_1" localSheetId="3" hidden="1">[33]Summary!#REF!</definedName>
    <definedName name="TRNR_7a8fc1d01c5e40eaaa4f04130959eddd_68_1" hidden="1">[33]Summary!#REF!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localSheetId="3" hidden="1">'[29]Index Performance'!#REF!</definedName>
    <definedName name="TRNR_7bf4ba2b6b7e4f1ebf45d7dac5a26dc5_1_2" hidden="1">'[29]Index Performance'!#REF!</definedName>
    <definedName name="TRNR_7c1263c036f4421eaa5baeaca96ef2c6_0_0" hidden="1">#REF!</definedName>
    <definedName name="TRNR_7c263e8322484f83b753625b751a8fdd_1574_2" localSheetId="3" hidden="1" xml:space="preserve">                                                                                                                '[23]19 RealYields'!$V$3</definedName>
    <definedName name="TRNR_7c263e8322484f83b753625b751a8fdd_1574_2" hidden="1" xml:space="preserve">                                                                                                                '[23]19 RealYields'!$V$3</definedName>
    <definedName name="TRNR_7cf04fb65a46415c8f6ec910c031e17e_22_2" hidden="1">#REF!</definedName>
    <definedName name="TRNR_7d20cdf9b3f24ec4831902afd823a09f_184_0" localSheetId="3" hidden="1">'[13]Price move from peak'!#REF!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localSheetId="3" hidden="1" xml:space="preserve">                                                  '[16]3 Timeline'!$D$4</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localSheetId="3" hidden="1" xml:space="preserve">                                                                                                                '[23]22 5y5y inflation vs  10y'!$BA$6</definedName>
    <definedName name="TRNR_7f666f4ca9fc40da933eb81c16e91280_62_2" hidden="1" xml:space="preserve">                                                                                                                '[23]22 5y5y inflation vs  10y'!$BA$6</definedName>
    <definedName name="TRNR_7f9219ab46e44f5d828d8bf4c11db965_629_2" hidden="1">#REF!</definedName>
    <definedName name="TRNR_801c7da7fa2240758cfbd90d7f07b39d_124_22" hidden="1">#REF!</definedName>
    <definedName name="TRNR_8059242153054eba9c4808285a27feb7_1_3" localSheetId="3" hidden="1" xml:space="preserve">                  '[21]P9 Margins'!$B$9</definedName>
    <definedName name="TRNR_8059242153054eba9c4808285a27feb7_1_3" hidden="1" xml:space="preserve">                  '[21]P9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localSheetId="3" hidden="1">'[13]Price move from peak'!#REF!</definedName>
    <definedName name="TRNR_83870769baf14352a316f47bf932a490_132_0" hidden="1">'[13]Price move from peak'!#REF!</definedName>
    <definedName name="TRNR_83bd85d8bee34efa892a3f9afb671245_132_0" localSheetId="3" hidden="1">'[13]Price move from peak'!#REF!</definedName>
    <definedName name="TRNR_83bd85d8bee34efa892a3f9afb671245_132_0" hidden="1">'[13]Price move from peak'!#REF!</definedName>
    <definedName name="TRNR_83f4f44c3ee94e90a2fe316f35a55e36_112_4" localSheetId="3" hidden="1" xml:space="preserve">    '[12]25 energy performance'!$B$7</definedName>
    <definedName name="TRNR_83f4f44c3ee94e90a2fe316f35a55e36_112_4" hidden="1" xml:space="preserve">    '[12]25 energy performance'!$B$7</definedName>
    <definedName name="TRNR_83f550419bd34bbda792ade3235c395e_3_0" hidden="1">#REF!</definedName>
    <definedName name="TRNR_84593304212d422ca403231fc0ccbbf5_42_0" localSheetId="3" hidden="1">'[13]Price move from peak'!#REF!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localSheetId="3" hidden="1">'[25]US Earnings Estimates'!#REF!</definedName>
    <definedName name="TRNR_87421f6bc9be4ee4b4838e71c5324b48_437_8" hidden="1">'[25]US Earnings Estimates'!#REF!</definedName>
    <definedName name="TRNR_874cf5f955604ec892fa0ff9a22acaae_26_1" hidden="1">#REF!</definedName>
    <definedName name="TRNR_880c0ca222be4376a5957a8ce3e52e76_184_0" localSheetId="3" hidden="1">'[13]Price move from peak'!#REF!</definedName>
    <definedName name="TRNR_880c0ca222be4376a5957a8ce3e52e76_184_0" hidden="1">'[13]Price move from peak'!#REF!</definedName>
    <definedName name="TRNR_88f3561ff59e40ebaa7fa157c6f20635_1_1" localSheetId="3" hidden="1" xml:space="preserve">                                            '[16]2 equity bond scatter'!$Q$5</definedName>
    <definedName name="TRNR_88f3561ff59e40ebaa7fa157c6f20635_1_1" hidden="1" xml:space="preserve">                                            '[16]2 equity bond scatter'!$Q$5</definedName>
    <definedName name="TRNR_8972bf9f4a1b48989d8ac30ed2666e5d_132_0" localSheetId="3" hidden="1">'[13]Price move from peak'!#REF!</definedName>
    <definedName name="TRNR_8972bf9f4a1b48989d8ac30ed2666e5d_132_0" hidden="1">'[13]Price move from peak'!#REF!</definedName>
    <definedName name="TRNR_89a12d9e7f48431d927b29fb600cfde5_1_2" hidden="1">#REF!</definedName>
    <definedName name="TRNR_89e7b064ae524ce1976f3e2a2b5c55a6_42_0" localSheetId="3" hidden="1">'[13]Price move from peak'!#REF!</definedName>
    <definedName name="TRNR_89e7b064ae524ce1976f3e2a2b5c55a6_42_0" hidden="1">'[13]Price move from peak'!#REF!</definedName>
    <definedName name="TRNR_89f6386890b34737a43ddc6f7544d913_1_1" localSheetId="3" hidden="1" xml:space="preserve">                                                                                        '[16]2 equity bond scatter'!$Q$5</definedName>
    <definedName name="TRNR_89f6386890b34737a43ddc6f7544d913_1_1" hidden="1" xml:space="preserve">                                                                                        '[16]2 equity bond scatter'!$Q$5</definedName>
    <definedName name="TRNR_8a0302d9ff5d4976a63cb4ab99ef0b4c_179_22" hidden="1">#REF!</definedName>
    <definedName name="TRNR_8b0e7630dfd741ec83ae44af0ce47662_53_3" localSheetId="3" hidden="1" xml:space="preserve">                                                        '[16]2 equity bond scatter'!$G$7</definedName>
    <definedName name="TRNR_8b0e7630dfd741ec83ae44af0ce47662_53_3" hidden="1" xml:space="preserve">                                                        '[16]2 equity bond scatter'!$G$7</definedName>
    <definedName name="TRNR_8b66125c386141889b657dc95470e9a2_1826_3" localSheetId="3" hidden="1" xml:space="preserve">                                                                                                                                                                                                                '[22]P8 Commodity prices'!$S$5</definedName>
    <definedName name="TRNR_8b66125c386141889b657dc95470e9a2_1826_3" hidden="1" xml:space="preserve">                                                                                                                                                                                                                '[22]P8 Commodity prices'!$S$5</definedName>
    <definedName name="TRNR_8b98b87e135346a6835ce5d53b0476bc_30_4" hidden="1">#REF!</definedName>
    <definedName name="TRNR_8bb751cc7d4840a4aa0afc6a99efcb1d_1700_3" localSheetId="3" hidden="1" xml:space="preserve">                             '[16]21 yield breakdown'!$J$5</definedName>
    <definedName name="TRNR_8bb751cc7d4840a4aa0afc6a99efcb1d_1700_3" hidden="1" xml:space="preserve">                             '[16]21 yield breakdown'!$J$5</definedName>
    <definedName name="TRNR_8bbdccee077e41239e6685bc47028624_132_2" localSheetId="3" hidden="1" xml:space="preserve">                                            '[16]23 EM perf'!$C$8</definedName>
    <definedName name="TRNR_8bbdccee077e41239e6685bc47028624_132_2" hidden="1" xml:space="preserve">                                            '[16]23 EM perf'!$C$8</definedName>
    <definedName name="TRNR_8bce15d242114938a408ee2c318f6cce_53_3" localSheetId="3" hidden="1" xml:space="preserve">                                            '[16]2 equity bond scatter'!$G$7</definedName>
    <definedName name="TRNR_8bce15d242114938a408ee2c318f6cce_53_3" hidden="1" xml:space="preserve">                                            '[16]2 equity bond scatter'!$G$7</definedName>
    <definedName name="TRNR_8d3d87a0e84e4f0dac9df4649b0df511_889_1" localSheetId="3" hidden="1" xml:space="preserve">                                '[23]14 U.S. LFPR'!$B$2</definedName>
    <definedName name="TRNR_8d3d87a0e84e4f0dac9df4649b0df511_889_1" hidden="1" xml:space="preserve">                                '[23]14 U.S. LFPR'!$B$2</definedName>
    <definedName name="TRNR_8d5d951ca2e841b0a3b3ccd5795acbfd_350_3" hidden="1">#REF!</definedName>
    <definedName name="TRNR_8d99cd2cc5aa48a7a67fc7d1008f76dc_1042_0" localSheetId="3" hidden="1">'[13]Price move from peak'!#REF!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localSheetId="3" hidden="1" xml:space="preserve">                        '[24]US rate paths'!$N$6</definedName>
    <definedName name="TRNR_90b9b0e46d5a4aa98190be7dc2330cf6_7756_1" hidden="1" xml:space="preserve">                        '[24]US rate paths'!$N$6</definedName>
    <definedName name="TRNR_911f64ffb1334b33a79f38a21dc84ee0_384_1" localSheetId="3" hidden="1" xml:space="preserve">                                                                                                                                                                      '[22]P6 Cutting through confusion'!#REF!</definedName>
    <definedName name="TRNR_911f64ffb1334b33a79f38a21dc84ee0_384_1" hidden="1" xml:space="preserve">                                                                                                                                                                      '[22]P6 Cutting through confusion'!#REF!</definedName>
    <definedName name="TRNR_914eab87e1bb40ae93ff2892ad8bd185_26_1" hidden="1">#REF!</definedName>
    <definedName name="TRNR_91b0350baa8a4b4ea4b12542a9bc9c53_56_2" hidden="1">#REF!</definedName>
    <definedName name="TRNR_91dea32dc9894171a53c1c9155223bfd_7756_1" localSheetId="3" hidden="1" xml:space="preserve">                        '[24]US rate paths'!$N$6</definedName>
    <definedName name="TRNR_91dea32dc9894171a53c1c9155223bfd_7756_1" hidden="1" xml:space="preserve">                        '[24]US rate paths'!$N$6</definedName>
    <definedName name="TRNR_91f82895110b437681d9cf7b0e2acb29_0_0" hidden="1">#REF!</definedName>
    <definedName name="TRNR_92358a36b82f4333a541c8c8d2e7d3c3_119_5" localSheetId="3" hidden="1" xml:space="preserve">    '[12]25 energy performance'!$B$7</definedName>
    <definedName name="TRNR_92358a36b82f4333a541c8c8d2e7d3c3_119_5" hidden="1" xml:space="preserve">    '[12]25 energy performance'!$B$7</definedName>
    <definedName name="TRNR_9259dba599f14db6a613bb6c44312f19_9767_3" hidden="1">#REF!</definedName>
    <definedName name="TRNR_92a886c5c8eb4e24afbb58b55d00bf8d_1_1" localSheetId="3" hidden="1" xml:space="preserve">                                                        '[16]2 equity bond scatter'!$Q$5</definedName>
    <definedName name="TRNR_92a886c5c8eb4e24afbb58b55d00bf8d_1_1" hidden="1" xml:space="preserve">                                                        '[16]2 equity bond scatter'!$Q$5</definedName>
    <definedName name="TRNR_92d0bf58d514493f8febd80d36fd65b1_1397_5" hidden="1">#REF!</definedName>
    <definedName name="TRNR_92d0f90bf4c2464fa262cece5b2b04e0_3_2" localSheetId="3" hidden="1" xml:space="preserve">                                            '[22]P8 Commodity prices'!$AG$4</definedName>
    <definedName name="TRNR_92d0f90bf4c2464fa262cece5b2b04e0_3_2" hidden="1" xml:space="preserve">                                            '[22]P8 Commodity prices'!$AG$4</definedName>
    <definedName name="TRNR_92d56fd4222145d2a39b06f7d036749e_132_0" localSheetId="3" hidden="1">'[13]Price move from peak'!#REF!</definedName>
    <definedName name="TRNR_92d56fd4222145d2a39b06f7d036749e_132_0" hidden="1">'[13]Price move from peak'!#REF!</definedName>
    <definedName name="TRNR_930e915e4a81481ab6f40c3e21b8ca46_1_1" localSheetId="3" hidden="1" xml:space="preserve">                            '[12]25 energy performance'!#REF!</definedName>
    <definedName name="TRNR_930e915e4a81481ab6f40c3e21b8ca46_1_1" hidden="1" xml:space="preserve">                            '[12]25 energy performance'!#REF!</definedName>
    <definedName name="TRNR_93a00ec23d7944f3aecfa74002e03d50_122_1" localSheetId="3" hidden="1" xml:space="preserve">                                                                                        '[23]19 earnings'!$A$1</definedName>
    <definedName name="TRNR_93a00ec23d7944f3aecfa74002e03d50_122_1" hidden="1" xml:space="preserve">                                                                                        '[23]19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localSheetId="3" hidden="1">'[13]Price move from peak'!#REF!</definedName>
    <definedName name="TRNR_9453e19841aa49a58996fbc489b2135f_132_0" hidden="1">'[13]Price move from peak'!#REF!</definedName>
    <definedName name="TRNR_948cf9e85c2d42b1b47e8dd6a88d0fab_184_0" localSheetId="3" hidden="1">'[13]Price move from peak'!#REF!</definedName>
    <definedName name="TRNR_948cf9e85c2d42b1b47e8dd6a88d0fab_184_0" hidden="1">'[13]Price move from peak'!#REF!</definedName>
    <definedName name="TRNR_94d057b8c4984a1f9ec8c4c7fb7f3b94_132_0" localSheetId="3" hidden="1">'[13]Price move from peak'!#REF!</definedName>
    <definedName name="TRNR_94d057b8c4984a1f9ec8c4c7fb7f3b94_132_0" hidden="1">'[13]Price move from peak'!#REF!</definedName>
    <definedName name="TRNR_94e77f46a7bb4b89b642e916711ee4ee_53_3" localSheetId="3" hidden="1" xml:space="preserve">                                                                                                                                                                                                            '[16]2 equity bond scatter'!$G$7</definedName>
    <definedName name="TRNR_94e77f46a7bb4b89b642e916711ee4ee_53_3" hidden="1" xml:space="preserve">                                                                                                                                                                                                            '[16]2 equity bond scatter'!$G$7</definedName>
    <definedName name="TRNR_952743eeaba14837abba390ee55e0b9a_266_3" localSheetId="3" hidden="1" xml:space="preserve">                                                                                                                '[23]14 US unemployment'!$A$6</definedName>
    <definedName name="TRNR_952743eeaba14837abba390ee55e0b9a_266_3" hidden="1" xml:space="preserve">                                                                                                                '[23]14 US unemployment'!$A$6</definedName>
    <definedName name="TRNR_957c1ade9786427ead82ec696cc7a208_257_4" hidden="1">#REF!</definedName>
    <definedName name="TRNR_95de450b55474aca8821d8bb25a2d6e0_1_1" localSheetId="3" hidden="1" xml:space="preserve">                        '[16]2 equity bond scatter'!$Q$5</definedName>
    <definedName name="TRNR_95de450b55474aca8821d8bb25a2d6e0_1_1" hidden="1" xml:space="preserve">                        '[16]2 equity bond scatter'!$Q$5</definedName>
    <definedName name="TRNR_960c3a84b00644fc81712ab3fba310b6_1395_4" hidden="1">#REF!</definedName>
    <definedName name="TRNR_963ef55e509340f7ba9e1a22e29974e4_132_0" localSheetId="3" hidden="1">'[13]Price move from peak'!#REF!</definedName>
    <definedName name="TRNR_963ef55e509340f7ba9e1a22e29974e4_132_0" hidden="1">'[13]Price move from peak'!#REF!</definedName>
    <definedName name="TRNR_96603aeebc154ba992f17a35ca2eec25_1517_1" localSheetId="3" hidden="1" xml:space="preserve">                        '[28]One-week repo'!$B$4</definedName>
    <definedName name="TRNR_96603aeebc154ba992f17a35ca2eec25_1517_1" hidden="1" xml:space="preserve">                        '[28]One-week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localSheetId="3" hidden="1" xml:space="preserve">                        '[23]19 earnings'!$A$1</definedName>
    <definedName name="TRNR_97f439cbb6e545b186efa3e18e36274d_119_1" hidden="1" xml:space="preserve">                        '[23]19 earnings'!$A$1</definedName>
    <definedName name="TRNR_9815a5455bb94c6a92bf9c550b9bd443_1_16" hidden="1">#REF!</definedName>
    <definedName name="TRNR_9897a575ddf645909df42da733475534_50_2" localSheetId="3" hidden="1" xml:space="preserve">                                                                                                                '[23]13 Labor market'!$A$6</definedName>
    <definedName name="TRNR_9897a575ddf645909df42da733475534_50_2" hidden="1" xml:space="preserve">                                                                                                                '[23]13 Labor market'!$A$6</definedName>
    <definedName name="TRNR_98b8b0afdc8d445ba7b3114ff8b8ec09_4305_2" localSheetId="3" hidden="1" xml:space="preserve">                               '[27]P9 euro spreads'!$B$7</definedName>
    <definedName name="TRNR_98b8b0afdc8d445ba7b3114ff8b8ec09_4305_2" hidden="1" xml:space="preserve">                               '[27]P9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localSheetId="3" hidden="1" xml:space="preserve">                                        '[23]20 earnings growth'!$R$1</definedName>
    <definedName name="TRNR_9a64fa28eb314f399a1d7a6012a9c0b4_133_3" hidden="1" xml:space="preserve">                                        '[23]20 earnings growth'!$R$1</definedName>
    <definedName name="TRNR_9acc09bd196a4b6db1c0b5708416a7af_264_1" localSheetId="3" hidden="1" xml:space="preserve">                                                                                                                '[23]22 5y5y inflation vs  10y'!$BA$6</definedName>
    <definedName name="TRNR_9acc09bd196a4b6db1c0b5708416a7af_264_1" hidden="1" xml:space="preserve">                                                                                                                '[23]22 5y5y inflation vs  10y'!$BA$6</definedName>
    <definedName name="TRNR_9b095dc937da44549621f9b4cdbeabee_131_3" localSheetId="3" hidden="1" xml:space="preserve">                        '[15]Forward Earnings'!$A$1</definedName>
    <definedName name="TRNR_9b095dc937da44549621f9b4cdbeabee_131_3" hidden="1" xml:space="preserve">                        '[15]Forward Earnings'!$A$1</definedName>
    <definedName name="TRNR_9baf5cf793c540f28c162c5057e30450_357_1" localSheetId="3" hidden="1" xml:space="preserve">                        '[24]US rate paths'!$AC$5</definedName>
    <definedName name="TRNR_9baf5cf793c540f28c162c5057e30450_357_1" hidden="1" xml:space="preserve">                        '[24]US rate paths'!$AC$5</definedName>
    <definedName name="TRNR_9cee900f1a9b404b9daf75634322262d_524_8" hidden="1">#REF!</definedName>
    <definedName name="TRNR_9d126bba8bba4d4bab129bc01b7d0229_1_3" hidden="1">#REF!</definedName>
    <definedName name="TRNR_9deccb618f7b4cceb41417b6d299efc4_184_0" localSheetId="3" hidden="1">'[13]Price move from peak'!#REF!</definedName>
    <definedName name="TRNR_9deccb618f7b4cceb41417b6d299efc4_184_0" hidden="1">'[13]Price move from peak'!#REF!</definedName>
    <definedName name="TRNR_9e0414b12252408c9895defe41889734_1_5" hidden="1">#REF!</definedName>
    <definedName name="TRNR_9e5ad2a0c8534f52a269a49714e59635_1_1" localSheetId="3" hidden="1" xml:space="preserve">                                                                        '[16]2 equity bond scatter'!$N$5</definedName>
    <definedName name="TRNR_9e5ad2a0c8534f52a269a49714e59635_1_1" hidden="1" xml:space="preserve">                                                                        '[16]2 equity bond scatter'!$N$5</definedName>
    <definedName name="TRNR_9e66771195794192908475da7dd7a26f_131_3" localSheetId="3" hidden="1" xml:space="preserve">                        '[23]20 earnings growth'!$R$1</definedName>
    <definedName name="TRNR_9e66771195794192908475da7dd7a26f_131_3" hidden="1" xml:space="preserve">                        '[23]20 earnings growth'!$R$1</definedName>
    <definedName name="TRNR_9e69619636fc497ab9d1e0c72b23330b_3_0" hidden="1">#REF!</definedName>
    <definedName name="TRNR_9e8abee8a4f8499a87680cd8fd0532fb_662_2" hidden="1">#REF!</definedName>
    <definedName name="TRNR_9fae47c0ef8a43a1a952820624731f17_7_2" localSheetId="3" hidden="1" xml:space="preserve">                                                 '[16]7 Bev curve'!$B$9</definedName>
    <definedName name="TRNR_9fae47c0ef8a43a1a952820624731f17_7_2" hidden="1" xml:space="preserve">                                                 '[16]7 Bev curve'!$B$9</definedName>
    <definedName name="TRNR_9fc32161ef5d4d8f9704a5953ed35145_254_1" localSheetId="3" hidden="1" xml:space="preserve">                              '[22]P9 FF Geopolitics'!$A$8</definedName>
    <definedName name="TRNR_9fc32161ef5d4d8f9704a5953ed35145_254_1" hidden="1" xml:space="preserve">                              '[22]P9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localSheetId="3" hidden="1" xml:space="preserve">                        '[28]One-week repo'!$B$4</definedName>
    <definedName name="TRNR_a1d044aaddd94029b573fe05df362ba5_1540_1" hidden="1" xml:space="preserve">                        '[28]One-week repo'!$B$4</definedName>
    <definedName name="TRNR_a2ffe35580a54ac888f84558fcc67102_179_11" hidden="1">#REF!</definedName>
    <definedName name="TRNR_a300200e967c46f295c0fa01e03dbac2_53_3" localSheetId="3" hidden="1" xml:space="preserve">                                            '[16]2 equity bond scatter'!$G$7</definedName>
    <definedName name="TRNR_a300200e967c46f295c0fa01e03dbac2_53_3" hidden="1" xml:space="preserve">                                            '[16]2 equity bond scatter'!$G$7</definedName>
    <definedName name="TRNR_a30523808e4d49bf85213f64afcf7888_1_1" localSheetId="3" hidden="1" xml:space="preserve">                                                                                            '[22]P3 Equity Bond returns'!$Q$5</definedName>
    <definedName name="TRNR_a30523808e4d49bf85213f64afcf7888_1_1" hidden="1" xml:space="preserve">                                                                                            '[22]P3 Equity Bond returns'!$Q$5</definedName>
    <definedName name="TRNR_a31f1e7d25e24ef9b1a1146ef365e081_1_1" localSheetId="3" hidden="1" xml:space="preserve">                                                                                                                                                                        '[16]2 equity bond scatter'!$N$5</definedName>
    <definedName name="TRNR_a31f1e7d25e24ef9b1a1146ef365e081_1_1" hidden="1" xml:space="preserve">                                                                                                                                                                        '[16]2 equity bond scatter'!$N$5</definedName>
    <definedName name="TRNR_a32e3d74649a4118a7684abcca36d831_181_4" localSheetId="3" hidden="1" xml:space="preserve">                        '[23]19 earnings'!$T$1</definedName>
    <definedName name="TRNR_a32e3d74649a4118a7684abcca36d831_181_4" hidden="1" xml:space="preserve">                        '[23]19 earnings'!$T$1</definedName>
    <definedName name="TRNR_a41aec9a3b8b42acb5c94bff986f36b4_241_1" localSheetId="3" hidden="1" xml:space="preserve">                        '[23]19 earnings'!$A$1</definedName>
    <definedName name="TRNR_a41aec9a3b8b42acb5c94bff986f36b4_241_1" hidden="1" xml:space="preserve">                        '[23]19 earnings'!$A$1</definedName>
    <definedName name="TRNR_a41cacee699e4595923b13526f528037_52_2" localSheetId="3" hidden="1" xml:space="preserve">                                  '[16]2 equity bond scatter'!$B$7</definedName>
    <definedName name="TRNR_a41cacee699e4595923b13526f528037_52_2" hidden="1" xml:space="preserve">                                  '[16]2 equity bond scatter'!$B$7</definedName>
    <definedName name="TRNR_a4b5edcfd0c048138fc4a159e58a8349_8634_9" localSheetId="3" hidden="1">[34]TRI!#REF!</definedName>
    <definedName name="TRNR_a4b5edcfd0c048138fc4a159e58a8349_8634_9" hidden="1">[34]TRI!#REF!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localSheetId="3" hidden="1" xml:space="preserve">                            '[12]25 energy performance'!#REF!</definedName>
    <definedName name="TRNR_a5e8aed4039b4232b91870904798d43a_3_1" hidden="1" xml:space="preserve">                            '[12]25 energy performance'!#REF!</definedName>
    <definedName name="TRNR_a5f13fc5fb6a4dd383dfdfff0bf62406_329_4" localSheetId="3" hidden="1">'[25]Regional PE Ratios'!#REF!</definedName>
    <definedName name="TRNR_a5f13fc5fb6a4dd383dfdfff0bf62406_329_4" hidden="1">'[25]Regional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localSheetId="3" hidden="1" xml:space="preserve">    '[12]25 energy performance'!$B$7</definedName>
    <definedName name="TRNR_a80236738ef0408fb16994809379ad13_119_5" hidden="1" xml:space="preserve">    '[12]25 energy performance'!$B$7</definedName>
    <definedName name="TRNR_a8678e3210d24756b05f8b306ce7f2d4_383_2" localSheetId="3" hidden="1" xml:space="preserve">                                      '[22]Good services'!$B$6</definedName>
    <definedName name="TRNR_a8678e3210d24756b05f8b306ce7f2d4_383_2" hidden="1" xml:space="preserve">                                      '[22]Good services'!$B$6</definedName>
    <definedName name="TRNR_a8ec5dd952eb497fa4b8512bd9d6264e_3_2" hidden="1">#REF!</definedName>
    <definedName name="TRNR_a92b3e6df4164678a15df23d274f0a60_383_2" localSheetId="3" hidden="1" xml:space="preserve">                                                                  '[22]Good services'!$B$6</definedName>
    <definedName name="TRNR_a92b3e6df4164678a15df23d274f0a60_383_2" hidden="1" xml:space="preserve">                                                                  '[22]Good services'!$B$6</definedName>
    <definedName name="TRNR_a973e7f3b28d41aca53abbcb2127c143_133_1" localSheetId="3" hidden="1" xml:space="preserve">                        '[14]Core PCE YoY'!$A$1</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localSheetId="3" hidden="1">[34]REQUEST_TABLE!#REF!</definedName>
    <definedName name="TRNR_aa8a5d7d2f9546718eb186399f0b81ea_524_1" hidden="1">[34]REQUEST_TABLE!#REF!</definedName>
    <definedName name="TRNR_aaa29ecd97124a05af3903d451c69de2_131_4" localSheetId="3" hidden="1" xml:space="preserve">                        '[18]Chart - Trailing Earnings'!$A$1</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localSheetId="3" hidden="1" xml:space="preserve">                                                                        '[16]2 equity bond scatter'!$N$5</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localSheetId="3" hidden="1" xml:space="preserve">                                                                                        '[16]2 equity bond scatter'!$B$7</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localSheetId="3" hidden="1" xml:space="preserve">                        '[24]US rate paths'!$AC$5</definedName>
    <definedName name="TRNR_aef9b9cd2384481b9baadc72d4b4c83b_357_1" hidden="1" xml:space="preserve">                        '[24]US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localSheetId="3" hidden="1">'[13]Price move from peak'!#REF!</definedName>
    <definedName name="TRNR_b0c100cb518746a987f1c67fc3f92a4d_0_2" hidden="1">'[13]Price move from peak'!#REF!</definedName>
    <definedName name="TRNR_b0ecd5828cb94868a57e6858f6dc4bad_3_0" hidden="1">#REF!</definedName>
    <definedName name="TRNR_b19e1f68f16e4eaca2a68f56378108ed_52_2" localSheetId="3" hidden="1" xml:space="preserve">                                            '[16]2 equity bond scatter'!$B$7</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localSheetId="3" hidden="1" xml:space="preserve">                            '[12]25 energy performance'!#REF!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localSheetId="3" hidden="1" xml:space="preserve">                        '[23]20 earnings growth'!$R$1</definedName>
    <definedName name="TRNR_b4f4fca1f15a427fbf85dbd3fa9200ec_523_6" hidden="1" xml:space="preserve">                        '[23]20 earnings growth'!$R$1</definedName>
    <definedName name="TRNR_b5703ed016ae434e930e9e67b534c48e_52_3" localSheetId="3" hidden="1" xml:space="preserve">                                                                                                                                                                                      '[22]P3 Equity Bond returns'!$G$7</definedName>
    <definedName name="TRNR_b5703ed016ae434e930e9e67b534c48e_52_3" hidden="1" xml:space="preserve">                                                                                                                                                                                      '[22]P3 Equity Bond returns'!$G$7</definedName>
    <definedName name="TRNR_b585e57675264c3d8b3bc0b64de195ba_3_1" localSheetId="3" hidden="1" xml:space="preserve">                            '[12]25 energy performance'!#REF!</definedName>
    <definedName name="TRNR_b585e57675264c3d8b3bc0b64de195ba_3_1" hidden="1" xml:space="preserve">                            '[12]25 energy performance'!#REF!</definedName>
    <definedName name="TRNR_b5d839dc4cdb4e5d8fbcb71011e44425_62_2" localSheetId="3" hidden="1" xml:space="preserve">                                                                                                                '[23]22 5y5y inflation vs  10y'!$BA$6</definedName>
    <definedName name="TRNR_b5d839dc4cdb4e5d8fbcb71011e44425_62_2" hidden="1" xml:space="preserve">                                                                                                                '[23]22 5y5y inflation vs  10y'!$BA$6</definedName>
    <definedName name="TRNR_b61a78043bf04b6aa88442c72985cfb4_192_1" localSheetId="3" hidden="1" xml:space="preserve">                                                                                                                                                          '[22]P5 Living with inflation'!$S$2</definedName>
    <definedName name="TRNR_b61a78043bf04b6aa88442c72985cfb4_192_1" hidden="1" xml:space="preserve">                                                                                                                                                          '[22]P5 Living with inflation'!$S$2</definedName>
    <definedName name="TRNR_b6232f80e484465e8407e3790aae3670_1_1" localSheetId="3" hidden="1" xml:space="preserve">                                            '[16]2 equity bond scatter'!$N$5</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localSheetId="3" hidden="1" xml:space="preserve">                                            '[16]2 equity bond scatter'!$Q$5</definedName>
    <definedName name="TRNR_b726cdf4241a4ba9b5feb92b26d9e930_1_1" hidden="1" xml:space="preserve">                                            '[16]2 equity bond scatter'!$Q$5</definedName>
    <definedName name="TRNR_b754584c2ab6478daf4c414f018c0997_1407_5" hidden="1">#REF!</definedName>
    <definedName name="TRNR_b755c06fd6da450f9f7597d74b5461bf_3_1" localSheetId="3" hidden="1" xml:space="preserve">                            '[12]25 energy performance'!#REF!</definedName>
    <definedName name="TRNR_b755c06fd6da450f9f7597d74b5461bf_3_1" hidden="1" xml:space="preserve">                            '[12]25 energy performance'!#REF!</definedName>
    <definedName name="TRNR_b81356baef1f496d867d1b26c3e31847_241_4" localSheetId="3" hidden="1" xml:space="preserve">                             '[16]20 DM central banks'!$S$10</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localSheetId="3" hidden="1" xml:space="preserve">                                                                                            '[22]P3 Equity Bond returns'!$G$7</definedName>
    <definedName name="TRNR_b8d02caad7c34cb7bd029f1b63096b89_52_3" hidden="1" xml:space="preserve">                                                                                            '[22]P3 Equity Bond returns'!$G$7</definedName>
    <definedName name="TRNR_b8f2331db91d43fcb8ad42a2f41adc1d_146_3" localSheetId="3" hidden="1" xml:space="preserve">                                                                                                                '[23]10 US PCE'!$A$2</definedName>
    <definedName name="TRNR_b8f2331db91d43fcb8ad42a2f41adc1d_146_3" hidden="1" xml:space="preserve">                                                                                                                '[23]10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localSheetId="3" hidden="1" xml:space="preserve">                                  '[21]P9 Margins'!$I$2</definedName>
    <definedName name="TRNR_b9bd2af1d9a84df3ba92f4bdbcf069b4_3_1" hidden="1" xml:space="preserve">                                  '[21]P9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localSheetId="3" hidden="1" xml:space="preserve">                                      '[21]P9 Margins'!$I$2</definedName>
    <definedName name="TRNR_ba5eb8ccdfff4bb6ab943f2522cc5d71_3_1" hidden="1" xml:space="preserve">                                      '[21]P9 Margins'!$I$2</definedName>
    <definedName name="TRNR_ba86417c50644c7394e8531d9f10f51f_56_2" hidden="1">#REF!</definedName>
    <definedName name="TRNR_ba9003501b474acab015f0e238f46a54_9767_2" hidden="1">#REF!</definedName>
    <definedName name="TRNR_bbc4b57b521a45bc9b5959d737f59290_42_0" localSheetId="3" hidden="1">'[13]Price move from peak'!#REF!</definedName>
    <definedName name="TRNR_bbc4b57b521a45bc9b5959d737f59290_42_0" hidden="1">'[13]Price move from peak'!#REF!</definedName>
    <definedName name="TRNR_bc41562503f643cfa80c0613f1ea4d7b_132_0" localSheetId="3" hidden="1">'[13]Price move from peak'!#REF!</definedName>
    <definedName name="TRNR_bc41562503f643cfa80c0613f1ea4d7b_132_0" hidden="1">'[13]Price move from peak'!#REF!</definedName>
    <definedName name="TRNR_bc7b32dfa2c548f381c7cfd971d67b15_52_2" localSheetId="3" hidden="1" xml:space="preserve">            '[16]2 equity bond scatter'!$B$7</definedName>
    <definedName name="TRNR_bc7b32dfa2c548f381c7cfd971d67b15_52_2" hidden="1" xml:space="preserve">            '[16]2 equity bond scatter'!$B$7</definedName>
    <definedName name="TRNR_bc82e8882bd5433b81a0b56efb204d34_51_2" localSheetId="3" hidden="1" xml:space="preserve">                                                                                            '[22]P3 Equity Bond returns'!$B$7</definedName>
    <definedName name="TRNR_bc82e8882bd5433b81a0b56efb204d34_51_2" hidden="1" xml:space="preserve">                                                                                            '[22]P3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localSheetId="3" hidden="1">'[13]Price move from peak'!#REF!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localSheetId="3" hidden="1" xml:space="preserve">                                                                    '[23]19 earnings'!$A$1</definedName>
    <definedName name="TRNR_bfdfbf0267ae471bb4ef7cd7ceaa60f7_122_1" hidden="1" xml:space="preserve">                                                                    '[23]19 earnings'!$A$1</definedName>
    <definedName name="TRNR_bfe787af60d64584bb0452fb32ba0b6b_3_3" localSheetId="3" hidden="1" xml:space="preserve">                                              '[21]P9 Margins'!$I$2</definedName>
    <definedName name="TRNR_bfe787af60d64584bb0452fb32ba0b6b_3_3" hidden="1" xml:space="preserve">                                              '[21]P9 Margins'!$I$2</definedName>
    <definedName name="TRNR_c001f855e8a44992aa2937fb1b769cfb_42_0" localSheetId="3" hidden="1">'[13]Price move from peak'!#REF!</definedName>
    <definedName name="TRNR_c001f855e8a44992aa2937fb1b769cfb_42_0" hidden="1">'[13]Price move from peak'!#REF!</definedName>
    <definedName name="TRNR_c02343a4a2264a43abd8ee8a4b8a3d60_50_1" localSheetId="3" hidden="1" xml:space="preserve">                                                                                                                '[23]13 Labor market'!$A$6</definedName>
    <definedName name="TRNR_c02343a4a2264a43abd8ee8a4b8a3d60_50_1" hidden="1" xml:space="preserve">                                                                                                                '[23]13 Labor market'!$A$6</definedName>
    <definedName name="TRNR_c0ce5fd120a1456db4635a657989c92e_132_0" localSheetId="3" hidden="1">'[13]Price move from peak'!#REF!</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localSheetId="3" hidden="1">'[25]US Earnings Estimates'!#REF!</definedName>
    <definedName name="TRNR_c18a0d710f5f4f7eaa207556d5d4b66b_305_8" hidden="1">'[25]US Earnings Estimates'!#REF!</definedName>
    <definedName name="TRNR_c1f418351c6742dbae5ecd2a7524f89b_121_1" localSheetId="3" hidden="1" xml:space="preserve">                        '[14]Core PCE YoY'!$A$1</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localSheetId="3" hidden="1">'[13]Price move from peak'!#REF!</definedName>
    <definedName name="TRNR_c5c68ad7015349a589895a0ed60240ac_132_0" hidden="1">'[13]Price move from peak'!#REF!</definedName>
    <definedName name="TRNR_c657754ae88b4f0891e90194a25168c2_317_3" hidden="1">#REF!</definedName>
    <definedName name="TRNR_c66ce9873b2447859eb9ba90f1cd8acf_128_1" localSheetId="3" hidden="1" xml:space="preserve">                                                                                                                                                                              '[22]P6 Cutting through confusion'!#REF!</definedName>
    <definedName name="TRNR_c66ce9873b2447859eb9ba90f1cd8acf_128_1" hidden="1" xml:space="preserve">                                                                                                                                                                              '[22]P6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localSheetId="3" hidden="1" xml:space="preserve">                                            '[16]18 S&amp;P 2Yr'!$B$10</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localSheetId="3" hidden="1">'[25]US Earnings Estimates'!#REF!</definedName>
    <definedName name="TRNR_c93b79a6d69943bf829b33f23944b87c_2703_1" hidden="1">'[25]US Earnings Estimates'!#REF!</definedName>
    <definedName name="TRNR_c9ab9da87b664678994f66a86e177527_0_0" hidden="1">#REF!</definedName>
    <definedName name="TRNR_c9c50fca812b48ab99b08ead4dde043a_0_0" hidden="1">#REF!</definedName>
    <definedName name="TRNR_c9cc64de614b43acb3458c0c3b26fedf_132_0" localSheetId="3" hidden="1">'[13]Price move from peak'!#REF!</definedName>
    <definedName name="TRNR_c9cc64de614b43acb3458c0c3b26fedf_132_0" hidden="1">'[13]Price move from peak'!#REF!</definedName>
    <definedName name="TRNR_ca1d21814ad9435e8cea1281bbb6668b_0_0" hidden="1">#REF!</definedName>
    <definedName name="TRNR_ca5b789958b2438f8f2ec0b861001241_123_1" localSheetId="3" hidden="1" xml:space="preserve">                                                                                        '[23]19 earnings'!$N$1</definedName>
    <definedName name="TRNR_ca5b789958b2438f8f2ec0b861001241_123_1" hidden="1" xml:space="preserve">                                                                                        '[23]19 earnings'!$N$1</definedName>
    <definedName name="TRNR_caa725cbb43347e7aac2b4814bfaa681_68_4" localSheetId="3" hidden="1" xml:space="preserve">                                    '[28]One-week repo'!#REF!</definedName>
    <definedName name="TRNR_caa725cbb43347e7aac2b4814bfaa681_68_4" hidden="1" xml:space="preserve">                                    '[28]One-week repo'!#REF!</definedName>
    <definedName name="TRNR_cab9a0afa54d465a8c529cb894d16844_192_2" hidden="1">#REF!</definedName>
    <definedName name="TRNR_cae182eab4dd485bb0249f3dffb8c109_112_5" localSheetId="3" hidden="1" xml:space="preserve">    '[12]25 energy performance'!$B$7</definedName>
    <definedName name="TRNR_cae182eab4dd485bb0249f3dffb8c109_112_5" hidden="1" xml:space="preserve">    '[12]25 energy performance'!$B$7</definedName>
    <definedName name="TRNR_cae816e3e3ec4266b16572d8b225e704_146_3" localSheetId="3" hidden="1" xml:space="preserve">                                                                                                                '[23]10 US PCE'!$A$2</definedName>
    <definedName name="TRNR_cae816e3e3ec4266b16572d8b225e704_146_3" hidden="1" xml:space="preserve">                                                                                                                '[23]10 US PCE'!$A$2</definedName>
    <definedName name="TRNR_cb49d039926b4eb4a9f56b20e2a0303c_1_16" hidden="1">#REF!</definedName>
    <definedName name="TRNR_cb6ea98348354059a06d5329a3169ae3_146_4" localSheetId="3" hidden="1" xml:space="preserve">                                                                                                                '[23]10 US PCE'!$A$2</definedName>
    <definedName name="TRNR_cb6ea98348354059a06d5329a3169ae3_146_4" hidden="1" xml:space="preserve">                                                                                                                '[23]10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localSheetId="3" hidden="1">'[25]US Earnings Estimates'!#REF!</definedName>
    <definedName name="TRNR_ce1751a401bf4cd791b1cd521d8f938a_305_9" hidden="1">'[25]US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localSheetId="3" hidden="1" xml:space="preserve">    '[16]22 Breakevens'!$E$8</definedName>
    <definedName name="TRNR_ceb55935abd14ef2886c083c4f841136_2745_2" hidden="1" xml:space="preserve">    '[16]22 Breakevens'!$E$8</definedName>
    <definedName name="TRNR_cebfdd2cee854f2da4178aca5714bb6a_522_3" localSheetId="3" hidden="1" xml:space="preserve">                                                '[14]UW US Treasuries'!$B$6</definedName>
    <definedName name="TRNR_cebfdd2cee854f2da4178aca5714bb6a_522_3" hidden="1" xml:space="preserve">                                                '[14]UW US Treasuries'!$B$6</definedName>
    <definedName name="TRNR_cec932684a414392b559b33fde647a59_331_3" localSheetId="3" hidden="1" xml:space="preserve">                             '[16]20 DM central banks'!$S$10</definedName>
    <definedName name="TRNR_cec932684a414392b559b33fde647a59_331_3" hidden="1" xml:space="preserve">                             '[16]20 DM central banks'!$S$10</definedName>
    <definedName name="TRNR_cf07bb9f3f3b46c8bc6bf754802970c2_42_1" localSheetId="3" hidden="1">'[13]Price move from peak'!#REF!</definedName>
    <definedName name="TRNR_cf07bb9f3f3b46c8bc6bf754802970c2_42_1" hidden="1">'[13]Price move from peak'!#REF!</definedName>
    <definedName name="TRNR_cf0fb35821594e0ea76f8369ae81b447_133_1" localSheetId="3" hidden="1" xml:space="preserve">                        '[14]Core PCE YoY'!$A$1</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localSheetId="3" hidden="1" xml:space="preserve">                        '[24]US rate paths'!$N$6</definedName>
    <definedName name="TRNR_d0ffc7f84edb4de38fb92f8c4f84f293_7756_1" hidden="1" xml:space="preserve">                        '[24]US rate paths'!$N$6</definedName>
    <definedName name="TRNR_d1949741df594801926384f4db66985c_97_2" hidden="1">#REF!</definedName>
    <definedName name="TRNR_d1ba241450a54001b8d136d12edf0c4b_1314_1" localSheetId="3" hidden="1" xml:space="preserve">                                                                                                                '[23]23 5y5y Inflation'!$A$6</definedName>
    <definedName name="TRNR_d1ba241450a54001b8d136d12edf0c4b_1314_1" hidden="1" xml:space="preserve">                                                                                                                '[23]23 5y5y Inflation'!$A$6</definedName>
    <definedName name="TRNR_d28476d9a87d45b1ac0dd04aeeb5af47_6091_1" hidden="1">#REF!</definedName>
    <definedName name="TRNR_d2caa07d3c53456ab18a9f43370cbce2_79_2" localSheetId="3" hidden="1">[24]Topdown_data_EM!#REF!</definedName>
    <definedName name="TRNR_d2caa07d3c53456ab18a9f43370cbce2_79_2" hidden="1">[24]Topdown_data_EM!#REF!</definedName>
    <definedName name="TRNR_d309516156b9482a81032076082f2ec8_42_0" localSheetId="3" hidden="1">'[13]Price move from peak'!#REF!</definedName>
    <definedName name="TRNR_d309516156b9482a81032076082f2ec8_42_0" hidden="1">'[13]Price move from peak'!#REF!</definedName>
    <definedName name="TRNR_d3b7fc3d8a3e46dca2b68c6ae7d99742_258_3" localSheetId="3" hidden="1" xml:space="preserve">                      '[21]P9 Margins'!$B$9</definedName>
    <definedName name="TRNR_d3b7fc3d8a3e46dca2b68c6ae7d99742_258_3" hidden="1" xml:space="preserve">                      '[21]P9 Margins'!$B$9</definedName>
    <definedName name="TRNR_d409c9de1bab44b6b3e35650e2688967_1_2" hidden="1">#REF!</definedName>
    <definedName name="TRNR_d414a60a53844f0d9c2502cd06e566aa_132_1" localSheetId="3" hidden="1">'[13]Price move from peak'!#REF!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localSheetId="3" hidden="1" xml:space="preserve">                             '[16]21 yield breakdown'!$C$5</definedName>
    <definedName name="TRNR_d4396f04a9294ee29163d6680aa87e24_1701_3" hidden="1" xml:space="preserve">                             '[16]21 yield breakdown'!$C$5</definedName>
    <definedName name="TRNR_d4f520b1eecf4237acae0bbca447c32b_72_1" localSheetId="3" hidden="1">[28]Electricity!#REF!</definedName>
    <definedName name="TRNR_d4f520b1eecf4237acae0bbca447c32b_72_1" hidden="1">[28]Electricity!#REF!</definedName>
    <definedName name="TRNR_d505b16769434b7baf876e742f7a5de7_109_2" hidden="1">#REF!</definedName>
    <definedName name="TRNR_d5bf27360c114b40bb7381ef67e82820_1329_1" localSheetId="3" hidden="1" xml:space="preserve">                                                                                                                '[23]23 5y5y Inflation'!$A$6</definedName>
    <definedName name="TRNR_d5bf27360c114b40bb7381ef67e82820_1329_1" hidden="1" xml:space="preserve">                                                                                                                '[23]23 5y5y Inflation'!$A$6</definedName>
    <definedName name="TRNR_d5de8ded9ca94b20bf4f9649693acf58_97_2" hidden="1">#REF!</definedName>
    <definedName name="TRNR_d66f063e05344d88aec61c719f6d9e44_53_3" localSheetId="3" hidden="1" xml:space="preserve">                                                                                      '[16]2 equity bond scatter'!$G$7</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localSheetId="3" hidden="1" xml:space="preserve">                                                 '[16]7 Bev curve'!$B$9</definedName>
    <definedName name="TRNR_d703df5bb1064756aab4a93bea63b3b9_10_2" hidden="1" xml:space="preserve">                                                 '[16]7 Bev curve'!$B$9</definedName>
    <definedName name="TRNR_d79224cd7a864b109c5518e5f600e21b_1_1" localSheetId="3" hidden="1">[35]US_Policy_rules!#REF!</definedName>
    <definedName name="TRNR_d79224cd7a864b109c5518e5f600e21b_1_1" hidden="1">[35]US_Policy_rules!#REF!</definedName>
    <definedName name="TRNR_d7a84821e5cd407984079d413d4a6fcb_3_2" hidden="1">#REF!</definedName>
    <definedName name="TRNR_d7e4b30ba7e749cda15ba071a5d12795_3_0" localSheetId="3" hidden="1" xml:space="preserve">            '[22]P8 Commodity prices'!$AK$4</definedName>
    <definedName name="TRNR_d7e4b30ba7e749cda15ba071a5d12795_3_0" hidden="1" xml:space="preserve">            '[22]P8 Commodity prices'!$AK$4</definedName>
    <definedName name="TRNR_d8bcb69bd7ac4946891df010499c13f0_2755_2" localSheetId="3" hidden="1" xml:space="preserve">    '[16]22 Breakevens'!$E$8</definedName>
    <definedName name="TRNR_d8bcb69bd7ac4946891df010499c13f0_2755_2" hidden="1" xml:space="preserve">    '[16]22 Breakevens'!$E$8</definedName>
    <definedName name="TRNR_d97b6e681a70460189d567c31490f421_51_2" localSheetId="3" hidden="1" xml:space="preserve">                                                                                                            '[16]2 equity bond scatter'!$B$7</definedName>
    <definedName name="TRNR_d97b6e681a70460189d567c31490f421_51_2" hidden="1" xml:space="preserve">                                                                                                            '[16]2 equity bond scatter'!$B$7</definedName>
    <definedName name="TRNR_d9bdcee3790146d8ac84171c078a1890_3_1" localSheetId="3" hidden="1" xml:space="preserve">                            '[12]25 energy performance'!#REF!</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localSheetId="3" hidden="1" xml:space="preserve">                                            '[16]18 S&amp;P 2Yr'!$B$10</definedName>
    <definedName name="TRNR_dac6195070314904a1a4e88c61a4eabf_131_2" hidden="1" xml:space="preserve">                                            '[16]18 S&amp;P 2Yr'!$B$10</definedName>
    <definedName name="TRNR_dac8d4c405124874a3eb7b09953f4550_1_1" localSheetId="3" hidden="1" xml:space="preserve">                                                                                                                '[16]2 equity bond scatter'!$N$5</definedName>
    <definedName name="TRNR_dac8d4c405124874a3eb7b09953f4550_1_1" hidden="1" xml:space="preserve">                                                                                                                '[16]2 equity bond scatter'!$N$5</definedName>
    <definedName name="TRNR_db0e5cf9a4e94d79bd674e5b185638b8_416_10" localSheetId="3" hidden="1">[34]Index_gth!#REF!</definedName>
    <definedName name="TRNR_db0e5cf9a4e94d79bd674e5b185638b8_416_10" hidden="1">[34]Index_gth!#REF!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localSheetId="3" hidden="1" xml:space="preserve">            '[22]P8 Commodity prices'!$B$5</definedName>
    <definedName name="TRNR_dd58041655064b0cb5ff32092512d3ae_1273_3" hidden="1" xml:space="preserve">            '[22]P8 Commodity prices'!$B$5</definedName>
    <definedName name="TRNR_dd5a522f96924bcd80b705b21f0510de_2_1" hidden="1">#REF!</definedName>
    <definedName name="TRNR_dd9e90c8f1bb406da45b848e85cc06eb_0_0" hidden="1">#REF!</definedName>
    <definedName name="TRNR_ddb87921e4f145a58b20f16f5ce1f2d7_52_2" localSheetId="3" hidden="1" xml:space="preserve">                                                        '[16]2 equity bond scatter'!$B$7</definedName>
    <definedName name="TRNR_ddb87921e4f145a58b20f16f5ce1f2d7_52_2" hidden="1" xml:space="preserve">                                                        '[16]2 equity bond scatter'!$B$7</definedName>
    <definedName name="TRNR_ddd3f59e62114372bd05054d0d3f4ecf_773_3" hidden="1">#REF!</definedName>
    <definedName name="TRNR_de1a31bc9aad4ff7b00850a6435d2ad8_2181_1" localSheetId="3" hidden="1">'[25]US Earnings Estimates'!#REF!</definedName>
    <definedName name="TRNR_de1a31bc9aad4ff7b00850a6435d2ad8_2181_1" hidden="1">'[25]US Earnings Estimates'!#REF!</definedName>
    <definedName name="TRNR_de94c8395399442688588e7ea45fd099_7_3" localSheetId="3" hidden="1" xml:space="preserve">                                                 '[16]7 Bev curve'!$B$9</definedName>
    <definedName name="TRNR_de94c8395399442688588e7ea45fd099_7_3" hidden="1" xml:space="preserve">                                                 '[16]7 Bev curve'!$B$9</definedName>
    <definedName name="TRNR_debc29b2d2164e4bad9818fe9991e03a_184_0" localSheetId="3" hidden="1">'[13]Price move from peak'!#REF!</definedName>
    <definedName name="TRNR_debc29b2d2164e4bad9818fe9991e03a_184_0" hidden="1">'[13]Price move from peak'!#REF!</definedName>
    <definedName name="TRNR_decacb74fb1f4b93b120d16094a2c87c_1_1" localSheetId="3" hidden="1" xml:space="preserve">                                                                                                                                                                                              '[22]P3 Equity Bond returns'!$Q$5</definedName>
    <definedName name="TRNR_decacb74fb1f4b93b120d16094a2c87c_1_1" hidden="1" xml:space="preserve">                                                                                                                                                                                              '[22]P3 Equity Bond returns'!$Q$5</definedName>
    <definedName name="TRNR_def57ab1d7af4b678ee167aaf989ae67_1626_3" hidden="1">#REF!</definedName>
    <definedName name="TRNR_def6c933438842a083cc17edd559815d_147_4" localSheetId="3" hidden="1" xml:space="preserve">                                                                                        '[23]10 US PCE'!$A$2</definedName>
    <definedName name="TRNR_def6c933438842a083cc17edd559815d_147_4" hidden="1" xml:space="preserve">                                                                                        '[23]10 US PCE'!$A$2</definedName>
    <definedName name="TRNR_df9500ec7df547b5a8ee7984fc00ec3d_51_2" localSheetId="3" hidden="1" xml:space="preserve">                                                                                            '[22]P3 Equity Bond returns'!$B$7</definedName>
    <definedName name="TRNR_df9500ec7df547b5a8ee7984fc00ec3d_51_2" hidden="1" xml:space="preserve">                                                                                            '[22]P3 Equity Bond returns'!$B$7</definedName>
    <definedName name="TRNR_dfd4978511484cbdbeb25b22e51774fb_1_1" hidden="1">#REF!</definedName>
    <definedName name="TRNR_e0004c4ed33a4d429f806411485829a3_42_0" localSheetId="3" hidden="1">'[13]Price move from peak'!#REF!</definedName>
    <definedName name="TRNR_e0004c4ed33a4d429f806411485829a3_42_0" hidden="1">'[13]Price move from peak'!#REF!</definedName>
    <definedName name="TRNR_e0544496a05244148eab18b428d2bacc_132_0" localSheetId="3"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localSheetId="3" hidden="1" xml:space="preserve">                                  '[22]Good services'!$B$6</definedName>
    <definedName name="TRNR_e0c1a2ce8c0340c1a5e1312db47a9a63_383_2" hidden="1" xml:space="preserve">                                  '[22]Good services'!$B$6</definedName>
    <definedName name="TRNR_e157d2cbac7d4b0fa42c9a189a9cd076_885_3" hidden="1">#REF!</definedName>
    <definedName name="TRNR_e22bc29a4bec4d17948eba4d17ec6819_1305_1" hidden="1">#REF!</definedName>
    <definedName name="TRNR_e23b5036bba34802aadd7ab64a726e71_112_3" localSheetId="3" hidden="1" xml:space="preserve">    '[12]25 energy performance'!$B$7</definedName>
    <definedName name="TRNR_e23b5036bba34802aadd7ab64a726e71_112_3" hidden="1" xml:space="preserve">    '[12]25 energy performance'!$B$7</definedName>
    <definedName name="TRNR_e2679933f9f14287928f86eb67c49394_1119_2" localSheetId="3" hidden="1" xml:space="preserve">          '[21]P7 commodities'!$B$15</definedName>
    <definedName name="TRNR_e2679933f9f14287928f86eb67c49394_1119_2" hidden="1" xml:space="preserve">          '[21]P7 commodities'!$B$15</definedName>
    <definedName name="TRNR_e332982b69204560b2b2e32aad46cd25_3_2" hidden="1">#REF!</definedName>
    <definedName name="TRNR_e3545836c6aa41b39c18859690573437_524_3" localSheetId="3" hidden="1">'[36]TAA - UK vs Europe (2)'!#REF!</definedName>
    <definedName name="TRNR_e3545836c6aa41b39c18859690573437_524_3" hidden="1">'[36]TAA - UK vs Europe (2)'!#REF!</definedName>
    <definedName name="TRNR_e4f60c1d79f445428b6c493219994b0f_3_0" hidden="1">#REF!</definedName>
    <definedName name="TRNR_e52490b068994416889166d9e3ffd98f_30_8" hidden="1">#REF!</definedName>
    <definedName name="TRNR_e57f65b46b904ff5a5fbf7f6986b0ad9_305_6" localSheetId="3" hidden="1">'[25]US Earnings Estimates'!#REF!</definedName>
    <definedName name="TRNR_e57f65b46b904ff5a5fbf7f6986b0ad9_305_6" hidden="1">'[25]US Earnings Estimates'!#REF!</definedName>
    <definedName name="TRNR_e5e9b81e18ca4c7490676c39ec0313d5_241_3" localSheetId="3" hidden="1" xml:space="preserve">                             '[16]20 DM central banks'!$S$10</definedName>
    <definedName name="TRNR_e5e9b81e18ca4c7490676c39ec0313d5_241_3" hidden="1" xml:space="preserve">                             '[16]20 DM central banks'!$S$10</definedName>
    <definedName name="TRNR_e665e44141114fc78c46b811c381b17a_266_3" localSheetId="3" hidden="1" xml:space="preserve">                                                                                                                '[23]14 US unemployment'!$A$6</definedName>
    <definedName name="TRNR_e665e44141114fc78c46b811c381b17a_266_3" hidden="1" xml:space="preserve">                                                                                                                '[23]14 US unemployment'!$A$6</definedName>
    <definedName name="TRNR_e688d7172f52455abc112fb1b9175748_137_2" localSheetId="3" hidden="1" xml:space="preserve">                                                  '[16]3 Timeline'!$D$4</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localSheetId="3" hidden="1" xml:space="preserve">                        '[15]Forward Earnings'!$A$1</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localSheetId="3" hidden="1">'[13]Price move from peak'!#REF!</definedName>
    <definedName name="TRNR_ea0e4154426a4f0d9f8347ff4b499e93_42_0" hidden="1">'[13]Price move from peak'!#REF!</definedName>
    <definedName name="TRNR_ea8533adbe6f4865b0003390b65d5493_1307_1" localSheetId="3" hidden="1" xml:space="preserve">                                            '[28]One-week repo'!$B$4</definedName>
    <definedName name="TRNR_ea8533adbe6f4865b0003390b65d5493_1307_1" hidden="1" xml:space="preserve">                                            '[28]One-week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localSheetId="3" hidden="1" xml:space="preserve">                                                                                                                '[23]13 Labor market'!$A$6</definedName>
    <definedName name="TRNR_eb849a00d7c7427d808356c21ceaa1c8_50_3" hidden="1" xml:space="preserve">                                                                                                                '[23]13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localSheetId="3" hidden="1">'[13]Price move from peak'!#REF!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localSheetId="3" hidden="1">'[13]Price move from peak'!#REF!</definedName>
    <definedName name="TRNR_ece061799fd14f34b32d0e8d9814736a_132_0" hidden="1">'[13]Price move from peak'!#REF!</definedName>
    <definedName name="TRNR_ed83781708af4c9c8057cf2fc43d752f_3_2" hidden="1">#REF!</definedName>
    <definedName name="TRNR_ed9f04de310f4135949e203d298baa1c_132_3" localSheetId="3" hidden="1" xml:space="preserve">                                            '[16]23 EM perf'!$C$8</definedName>
    <definedName name="TRNR_ed9f04de310f4135949e203d298baa1c_132_3" hidden="1" xml:space="preserve">                                            '[16]23 EM perf'!$C$8</definedName>
    <definedName name="TRNR_edb83e5b3495493aabab5ea15c8a993d_1_1" localSheetId="3" hidden="1" xml:space="preserve">                                                                                        '[16]2 equity bond scatter'!$N$5</definedName>
    <definedName name="TRNR_edb83e5b3495493aabab5ea15c8a993d_1_1" hidden="1" xml:space="preserve">                                                                                        '[16]2 equity bond scatter'!$N$5</definedName>
    <definedName name="TRNR_edba652e02ac4f51a9074f229e6d0bf6_132_0" localSheetId="3" hidden="1">'[13]Price move from peak'!#REF!</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localSheetId="3" hidden="1">'[37]Data 2021'!#REF!</definedName>
    <definedName name="TRNR_ef099f272550475cb53581f2cdcb4484_1_3" hidden="1">'[37]Data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localSheetId="3" hidden="1">'[13]Price move from peak'!#REF!</definedName>
    <definedName name="TRNR_f06f2ab89b9141ee870d7fce7c1fe337_132_0" hidden="1">'[13]Price move from peak'!#REF!</definedName>
    <definedName name="TRNR_f0a2c30306334e04aa8f89a819d52cdc_132_1" localSheetId="3"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localSheetId="3" hidden="1">'[13]Price move from peak'!#REF!</definedName>
    <definedName name="TRNR_f24b0d8b20b04705a98e2ff71eebcc9f_184_0" hidden="1">'[13]Price move from peak'!#REF!</definedName>
    <definedName name="TRNR_f2bc447173a64bdc89fd84ef36393639_1826_3" localSheetId="3" hidden="1" xml:space="preserve">                        '[22]P8 Commodity prices'!$S$5</definedName>
    <definedName name="TRNR_f2bc447173a64bdc89fd84ef36393639_1826_3" hidden="1" xml:space="preserve">                        '[22]P8 Commodity prices'!$S$5</definedName>
    <definedName name="TRNR_f3496d09490c4e6a92d6db96b8552ced_22_3" hidden="1">#REF!</definedName>
    <definedName name="TRNR_f359c39f33c9430cbfc0338fb8a09c7d_146_4" localSheetId="3" hidden="1" xml:space="preserve">                                                                                                                '[23]10 US PCE'!$A$2</definedName>
    <definedName name="TRNR_f359c39f33c9430cbfc0338fb8a09c7d_146_4" hidden="1" xml:space="preserve">                                                                                                                '[23]10 US PCE'!$A$2</definedName>
    <definedName name="TRNR_f39c2f43c57b4f92a0ff4aef8d25b60e_51_2" hidden="1">#REF!</definedName>
    <definedName name="TRNR_f413bb713ae74c7083c06c00ae6905a8_162_4" localSheetId="3" hidden="1" xml:space="preserve">        '[17]Equities - earnings'!$A$1</definedName>
    <definedName name="TRNR_f413bb713ae74c7083c06c00ae6905a8_162_4" hidden="1" xml:space="preserve">        '[17]Equities - earnings'!$A$1</definedName>
    <definedName name="TRNR_f417305864d24029ad44da40b14013f4_1_42" hidden="1">#REF!</definedName>
    <definedName name="TRNR_f4283ca0150b45cfaea7ed02db38ead1_1_1" localSheetId="3" hidden="1" xml:space="preserve">                                                        '[16]2 equity bond scatter'!$N$5</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localSheetId="3" hidden="1" xml:space="preserve">                             '[16]20 DM central banks'!$S$10</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localSheetId="3" hidden="1" xml:space="preserve">                                                  '[16]3 Timeline'!$D$4</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localSheetId="3" hidden="1">'[30]Assets in review'!#REF!</definedName>
    <definedName name="TRNR_f7486f3f92bf4488b037adbb34c78398_173_11" hidden="1">'[30]Assets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localSheetId="3" hidden="1" xml:space="preserve">                                                                                                                                                                  '[22]P6 Cutting through confusion'!#REF!</definedName>
    <definedName name="TRNR_f81a635ed2b54f1981429ea5ef702b7f_384_1" hidden="1" xml:space="preserve">                                                                                                                                                                  '[22]P6 Cutting through confusion'!#REF!</definedName>
    <definedName name="TRNR_f886e250427d4b04ac59c8926bce6490_214_1" localSheetId="3" hidden="1">[28]Electricity!#REF!</definedName>
    <definedName name="TRNR_f886e250427d4b04ac59c8926bce6490_214_1" hidden="1">[28]Electricity!#REF!</definedName>
    <definedName name="TRNR_f89fa4ca363548d19e5cdbc8ab19078e_1_1" localSheetId="3" hidden="1" xml:space="preserve">                                            '[16]2 equity bond scatter'!$N$5</definedName>
    <definedName name="TRNR_f89fa4ca363548d19e5cdbc8ab19078e_1_1" hidden="1" xml:space="preserve">                                            '[16]2 equity bond scatter'!$N$5</definedName>
    <definedName name="TRNR_f92d1f38fc304cc9a76bb1eb884aa57f_123_1" localSheetId="3" hidden="1" xml:space="preserve">                                                                                        '[23]19 earnings'!$A$1</definedName>
    <definedName name="TRNR_f92d1f38fc304cc9a76bb1eb884aa57f_123_1" hidden="1" xml:space="preserve">                                                                                        '[23]19 earnings'!$A$1</definedName>
    <definedName name="TRNR_f94869adb31a4ecfb7c9f8606b62990f_284_1" localSheetId="3" hidden="1" xml:space="preserve">                                              '[16]5 reallocation'!$R$3</definedName>
    <definedName name="TRNR_f94869adb31a4ecfb7c9f8606b62990f_284_1" hidden="1" xml:space="preserve">                                              '[16]5 reallocation'!$R$3</definedName>
    <definedName name="TRNR_faa9f181c104458c83edadcba7b2d8bb_0_0" hidden="1">#REF!</definedName>
    <definedName name="TRNR_faf9a709f5db4e1db0801eba41415c36_1_1" localSheetId="3" hidden="1" xml:space="preserve">                                                                                        '[16]2 equity bond scatter'!$N$5</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localSheetId="3" hidden="1" xml:space="preserve">                             '[16]21 yield breakdown'!$C$5</definedName>
    <definedName name="TRNR_fbc3f67b58974ca6812536467d993235_919_3" hidden="1" xml:space="preserve">                             '[16]21 yield breakdown'!$C$5</definedName>
    <definedName name="TRNR_fc6294eeb39244bcb51f79600a640e05_1282_3" localSheetId="3" hidden="1" xml:space="preserve">                                                                                                                                '[22]P8 Commodity prices'!$B$5</definedName>
    <definedName name="TRNR_fc6294eeb39244bcb51f79600a640e05_1282_3" hidden="1" xml:space="preserve">                                                                                                                                '[22]P8 Commodity prices'!$B$5</definedName>
    <definedName name="TRNR_fcaf18d1f5c44cde820c8025d0cf2d53_662_2" hidden="1">#REF!</definedName>
    <definedName name="TRNR_fccf2f19723c40a18cbfb3f6857c726b_1120_2" localSheetId="3" hidden="1" xml:space="preserve">      '[21]P7 commodities'!$B$15</definedName>
    <definedName name="TRNR_fccf2f19723c40a18cbfb3f6857c726b_1120_2" hidden="1" xml:space="preserve">      '[21]P7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localSheetId="3" hidden="1" xml:space="preserve">                             '[16]20 DM central banks'!$S$10</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localSheetId="3" hidden="1" xml:space="preserve">                        '[24]US rate paths'!$AC$5</definedName>
    <definedName name="TRNR_fecd03ec130d4dc48850a6ded8a8c8ae_357_1" hidden="1" xml:space="preserve">                        '[24]US rate paths'!$AC$5</definedName>
    <definedName name="TRNR_ff1f5998597c455bbdaa92341ac069d1_147_2" localSheetId="3" hidden="1" xml:space="preserve">                             '[16]18 S&amp;P 2Yr'!$B$10</definedName>
    <definedName name="TRNR_ff1f5998597c455bbdaa92341ac069d1_147_2" hidden="1" xml:space="preserve">                             '[16]18 S&amp;P 2Yr'!$B$10</definedName>
    <definedName name="TRNR_ff421f4ddf444f38b9e2aab132876c18_3_0" localSheetId="3" hidden="1" xml:space="preserve">                                                              '[22]P8 Commodity prices'!$AK$4</definedName>
    <definedName name="TRNR_ff421f4ddf444f38b9e2aab132876c18_3_0" hidden="1" xml:space="preserve">                                                              '[22]P8 Commodity prices'!$AK$4</definedName>
    <definedName name="TRNR_ffa137cec6c448ebb0089d1e91636bf6_53_3" localSheetId="3" hidden="1" xml:space="preserve">                                                                                        '[16]2 equity bond scatter'!$G$7</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 hidden="1">{#N/A,#N/A,TRUE,"Financials";#N/A,#N/A,TRUE,"Operating Statistics";#N/A,#N/A,TRUE,"Capex &amp; Depreciation";#N/A,#N/A,TRUE,"Debt"}</definedName>
    <definedName name="wrn.Full._.Financials." localSheetId="0" hidden="1">{#N/A,#N/A,TRUE,"Financials";#N/A,#N/A,TRUE,"Operating Statistics";#N/A,#N/A,TRUE,"Capex &amp; Depreciation";#N/A,#N/A,TRUE,"Debt"}</definedName>
    <definedName name="wrn.Full._.Financials." localSheetId="3" hidden="1">{#N/A,#N/A,TRUE,"Financials";#N/A,#N/A,TRUE,"Operating Statistics";#N/A,#N/A,TRUE,"Capex &amp; Depreciation";#N/A,#N/A,TRUE,"Debt"}</definedName>
    <definedName name="wrn.Full._.Financials." localSheetId="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 hidden="1">{#N/A,#N/A,TRUE,"Financials";#N/A,#N/A,TRUE,"Operating Statistics";#N/A,#N/A,TRUE,"Capex &amp; Depreciation";#N/A,#N/A,TRUE,"Debt"}</definedName>
    <definedName name="wrn.full._.financials1." localSheetId="0" hidden="1">{#N/A,#N/A,TRUE,"Financials";#N/A,#N/A,TRUE,"Operating Statistics";#N/A,#N/A,TRUE,"Capex &amp; Depreciation";#N/A,#N/A,TRUE,"Debt"}</definedName>
    <definedName name="wrn.full._.financials1." localSheetId="3" hidden="1">{#N/A,#N/A,TRUE,"Financials";#N/A,#N/A,TRUE,"Operating Statistics";#N/A,#N/A,TRUE,"Capex &amp; Depreciation";#N/A,#N/A,TRUE,"Debt"}</definedName>
    <definedName name="wrn.full._.financials1." localSheetId="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 hidden="1">{#N/A,#N/A,FALSE,"One Pager";#N/A,#N/A,FALSE,"Technical"}</definedName>
    <definedName name="wrn.One._.Pager._.plus._.Technicals." localSheetId="0" hidden="1">{#N/A,#N/A,FALSE,"One Pager";#N/A,#N/A,FALSE,"Technical"}</definedName>
    <definedName name="wrn.One._.Pager._.plus._.Technicals." localSheetId="3" hidden="1">{#N/A,#N/A,FALSE,"One Pager";#N/A,#N/A,FALSE,"Technical"}</definedName>
    <definedName name="wrn.One._.Pager._.plus._.Technicals." localSheetId="2" hidden="1">{#N/A,#N/A,FALSE,"One Pager";#N/A,#N/A,FALSE,"Technical"}</definedName>
    <definedName name="wrn.One._.Pager._.plus._.Technicals." hidden="1">{#N/A,#N/A,FALSE,"One Pager";#N/A,#N/A,FALSE,"Technical"}</definedName>
    <definedName name="wrn1.all"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7" l="1"/>
  <c r="M4" i="17"/>
  <c r="M5" i="17"/>
  <c r="M6" i="17"/>
  <c r="M7" i="17"/>
  <c r="M8" i="17"/>
  <c r="M9" i="17"/>
  <c r="M10" i="17"/>
  <c r="M2" i="17"/>
  <c r="M11" i="17" s="1"/>
  <c r="L11" i="17"/>
  <c r="J3" i="17"/>
  <c r="J4" i="17"/>
  <c r="J5" i="17"/>
  <c r="J6" i="17"/>
  <c r="J7" i="17"/>
  <c r="J2" i="17"/>
  <c r="I5" i="17"/>
  <c r="H11" i="17"/>
  <c r="I3" i="17" s="1"/>
  <c r="I11" i="17" l="1"/>
  <c r="I8" i="17"/>
  <c r="I7" i="17"/>
  <c r="I9" i="17"/>
  <c r="I6" i="17"/>
  <c r="I4" i="17"/>
  <c r="I2" i="17"/>
  <c r="J11" i="17"/>
</calcChain>
</file>

<file path=xl/sharedStrings.xml><?xml version="1.0" encoding="utf-8"?>
<sst xmlns="http://schemas.openxmlformats.org/spreadsheetml/2006/main" count="2344" uniqueCount="484">
  <si>
    <t>BlackRock Strategic Asset Allocation</t>
  </si>
  <si>
    <t>Our capital market assumptions are part of our wider portfolio construction toolkit. Using our capital market assumptions, that explicitly account for uncertainty and different pathways for asset class returns, we can employ robust optimisation techniques to design hypothetical downside-aware strategic portfolios. We blend portfolio return drivers – alpha, factors and index – to help ensure the portfolio risk budget is used efficiently and cost effectively. To size allocations to private markets, we consider liquidity risk linked to the cashflow requirements of the investor. We show below how our toolkit can be deployed to design strategic asset allocations for specific client types, based on their individual needs, objectives and constraints.</t>
  </si>
  <si>
    <t>BlackRock Capital Market Assumptions</t>
  </si>
  <si>
    <t>U.S. public pension plan</t>
  </si>
  <si>
    <t>U.S. corporate pension plan</t>
  </si>
  <si>
    <t>Reserve manager</t>
  </si>
  <si>
    <t>EMEA family office</t>
  </si>
  <si>
    <t>UK institutional multi-asset</t>
  </si>
  <si>
    <t>UK charity</t>
  </si>
  <si>
    <t>A typical U.S. public pension plan invests globally on a long-only basis with an absolute return target.</t>
  </si>
  <si>
    <t>A typical U.S. defined benefit plan is frozen/closed  to new participants but aims for a liability-relative return target to fund accruing service costs and credit event headwinds.</t>
  </si>
  <si>
    <t xml:space="preserve">Capital preservation, liquidity and return have historically been the main drivers of official reserve managers' investment. </t>
  </si>
  <si>
    <t xml:space="preserve">Family offices typically have long investment horizons, high risk tolerance and low liquidity needs, and tend to hold large private market and equity allocations. </t>
  </si>
  <si>
    <t>This client type typically invests globally on a long-only basis, often with an absolute or 'cash plus' return objective.</t>
  </si>
  <si>
    <t>UK charities typically invest globally on a long-only basis with an ‘inflation-plus’ return objective and with an income need to meet recurring cash outflows</t>
  </si>
  <si>
    <t>European high net worth investors focus on investing globally on a long-only basis. With a goal of achieving a desired level of return, they accept a relatively higher risk level as compared to the broader wealth segment.</t>
  </si>
  <si>
    <t>Criteria</t>
  </si>
  <si>
    <t>Description</t>
  </si>
  <si>
    <t>Base currency</t>
  </si>
  <si>
    <t>U.S. dollars</t>
  </si>
  <si>
    <t>UK pounds</t>
  </si>
  <si>
    <t>Investment objective</t>
  </si>
  <si>
    <t>Target absolute return of at least 7%</t>
  </si>
  <si>
    <t>Maintain high current funding ratio (over 100%) and minimize surplus volatility</t>
  </si>
  <si>
    <t>Maximise returns for given level of risk, subject to achieving material liquidity</t>
  </si>
  <si>
    <t>Maximise return for a given risk budget, while being downside aware</t>
  </si>
  <si>
    <t>Seek to maximize excess return with a moderate risk target</t>
  </si>
  <si>
    <t>Target absolute return of CPI + 4%</t>
  </si>
  <si>
    <t>Maximise return for given level of risk</t>
  </si>
  <si>
    <t>Risk target</t>
  </si>
  <si>
    <t>Risk budget based on volatility of a 70-30 equity-bond portfolio</t>
  </si>
  <si>
    <t>3.5% volatility</t>
  </si>
  <si>
    <t>10% volatility</t>
  </si>
  <si>
    <t>8% volatility</t>
  </si>
  <si>
    <t>Maintain high funding ratio (over 100%)</t>
  </si>
  <si>
    <t>9.2% volatility</t>
  </si>
  <si>
    <t>Investment opportunity set</t>
  </si>
  <si>
    <t>Long-only, global. Maximum allocation to private markets constrained by liquidity considerations to 35%</t>
  </si>
  <si>
    <t>Long-only, global, with leverage permitted via government bonds. Maximum allocation to private markets constrained by liquidity considerations to 13%</t>
  </si>
  <si>
    <t>Relatively restricted, yet less so than typical reserve managers</t>
  </si>
  <si>
    <t>Long-only, global. Assets with holding periods of more than 10 years excluded</t>
  </si>
  <si>
    <t>Long-only investments across global public and private markets. Liquidity requirements limit the size of private market allocations.</t>
  </si>
  <si>
    <t xml:space="preserve">Long-only investments across global public and private markets. </t>
  </si>
  <si>
    <t>Investment horizon</t>
  </si>
  <si>
    <t>20 years</t>
  </si>
  <si>
    <t>10 years</t>
  </si>
  <si>
    <t>Parameter</t>
  </si>
  <si>
    <t>Value</t>
  </si>
  <si>
    <t>Expected SAA return range excluding alpha, net of fees</t>
  </si>
  <si>
    <t>Contribution from net alpha</t>
  </si>
  <si>
    <t>0 - 0.6%</t>
  </si>
  <si>
    <t>0 - 0.5%</t>
  </si>
  <si>
    <t>0 - 0.7%</t>
  </si>
  <si>
    <t>Expected SAA return range including alpha, net of fees</t>
  </si>
  <si>
    <t>Return estimate assuming bottom half of outcomes</t>
  </si>
  <si>
    <t>Interest rate hedge ratio</t>
  </si>
  <si>
    <t>Credit hedge ratio</t>
  </si>
  <si>
    <t>Our view:</t>
  </si>
  <si>
    <t xml:space="preserve">Maintain private markets: </t>
  </si>
  <si>
    <t>We estimate a maximum private market allocation of 13%, based on our liquidity analysis detailed in our paper on the role of private markets assuming 7% net cash outflows each year and an additional haircut for one-off liquidity events, such as pension risk transfers or lump sum offerings.</t>
  </si>
  <si>
    <t>Equity allocation:</t>
  </si>
  <si>
    <t>Our expected returns are higher in the reserve manager portfolio than the peer group average, driven by a broader asset universe and the increased allocation towards equities as an asset class reserve managers typically do not consider. Equities provide an attractive risk return trade-off for reserve managers, in our view, as they offer alternative drivers of return to the portfolio that is traditionally concentrated in high quality fixed income assets.</t>
  </si>
  <si>
    <t>More private credit:</t>
  </si>
  <si>
    <t>Aversion to the asset class for EMEA-based family offices often arises due to fear of adverse tax implications, in our view. Yet even in stress tests assuming investment income being taxed at 30% higher than capital gains - a higher differential than that observed in many regions - our models show only modest changes to the allocations shown above. Exposure to private credit offers attractive return to the portfolio and diversification benefits.</t>
  </si>
  <si>
    <t>Alternative Investments:</t>
  </si>
  <si>
    <t>More private markets:</t>
  </si>
  <si>
    <t>Based on our liquidity analysis detailed in our paper on the role of private markets, investors with 5% net cash outflows each year can afford up to 35% of their total portfolio in illiquid assets, often higher than observed allocations.</t>
  </si>
  <si>
    <t xml:space="preserve">Diversified growth assets:  </t>
  </si>
  <si>
    <t>Our SAA holds more diversified growth assets compared to peer group allocations concentrated in equity and growth private markets. We add diversifying fixed income and income private markets.</t>
  </si>
  <si>
    <t>Focus on downside management:</t>
  </si>
  <si>
    <t>The average return in the bottom-half of outcomes for our SAA is higher than that of the peer group average, and our SAA also has a lower maximum drawdown over a one-year period. We have preserved short duration U.S. Treasuries as a liquidity buffer.</t>
  </si>
  <si>
    <t>Rethinking resilience:</t>
  </si>
  <si>
    <t>Global exposures:</t>
  </si>
  <si>
    <t>Explicit allocation to private markets:</t>
  </si>
  <si>
    <t>Most wealth investors have limited access to private markets. We believe the high net worth end of the market with higher risk tolerance and means to access private markets can benefit from the return and diversification characteristics of this asset class.</t>
  </si>
  <si>
    <t>Currency hedging:</t>
  </si>
  <si>
    <t>The decision to hedge currency exposure is based on the contribution to total portfolio risk and return. In this SAA, we find fully hedging all DM currencies besides the yen results in the best return-risk outcome.</t>
  </si>
  <si>
    <t>Higher hedge ratios:</t>
  </si>
  <si>
    <t>The SAA is constructed in a surplus context, with the asset portfolio optimized relative to future benefit payments discounted with a US corporate curve. Given the high, near 100%, current funding ratio of the peer group, our SAA has high interest rate and credit spread hedge ratio to reduce surplus volatility. We also allow up to 2x leverage on government bonds.</t>
  </si>
  <si>
    <t>Inflation-linked bonds:</t>
  </si>
  <si>
    <t>We derive the peer groups for our SAAs from a variety of sources listed below. These peer groups are purely illustrative, broadly share similar objectives and constraints as our hypothetical SAAs and are intended to be an approximate guide of average industry practice. They do not represent any actual portfolio. We apply our CMAs and robust optimization techniques to these allocations using the same assumptions as our SAAs. We do not assume any alpha in the expected returns for peer groups as we have no visibility into what blend of returns (index, factors and alpha-seeking) various investors in our data sets use, their ability to pick top-quartile managers or their fees and governance costs.</t>
  </si>
  <si>
    <t>Peer group derived from:</t>
  </si>
  <si>
    <t>Average asset allocation of the top 100 U.S. public pension plan as of latest publicly available data</t>
  </si>
  <si>
    <t>Assumed asset class breakdown:</t>
  </si>
  <si>
    <t>Expected return range excluding alpha, net of fees</t>
  </si>
  <si>
    <t>European wealth manager</t>
  </si>
  <si>
    <t>Return target</t>
  </si>
  <si>
    <t>More on liquidity analysis</t>
  </si>
  <si>
    <t>1.5% on surplus basis</t>
  </si>
  <si>
    <t>The U.S. pension plan's model portfolio is more broadly diversified in growth assets compared to the concentrated equity and growth private market investments of its peers. While holding similar levels of private market investments, it showcases a wider range within these assets.</t>
  </si>
  <si>
    <t xml:space="preserve">Our portfolio construction process incorporates private markets as well as liquid alternatives. In many cases, investors want to access the same exposures as offered by private markets but don’t have the ability to fully tolerate the illiquidity risk that comes with it. </t>
  </si>
  <si>
    <t xml:space="preserve">Average allocations based on industry surveys such as UBS Family Office report, 2023 and BlackRock estimates </t>
  </si>
  <si>
    <t>Moderate risk UK multi-asset portfolio included in BlackRock Portfolio Analytics and Solutions Survey 2023</t>
  </si>
  <si>
    <t>Average allocations based on industry surveys and BlackRock proxy based on UK Charity portfolios with similar return target</t>
  </si>
  <si>
    <t>Average European client allocation based on the BlackRock Portfolio Analytics and Solutions Survey 2023</t>
  </si>
  <si>
    <t>Fixed income (21%), Equities (41%), Private Markets (31%) and Hedge Funds (5%), Cash (2%)</t>
  </si>
  <si>
    <t>Fixed income (86%), Equities (2%), Private Markets (5%), Commodities (7%)</t>
  </si>
  <si>
    <t>Fixed income (19%), Equities (29%), Private markets (33%), Hedge Funds (8%), Cash (10%), Commodities (1%)</t>
  </si>
  <si>
    <t>Fixed income (29%), Equities (55%), Private Markets and Hedge Funds (11%), Cash (5%), Commodities (0.2%)</t>
  </si>
  <si>
    <t>4.4% volatility</t>
  </si>
  <si>
    <t>BlackRock Proxy</t>
  </si>
  <si>
    <t>Developed infrastructure debt</t>
  </si>
  <si>
    <t>Private markets</t>
  </si>
  <si>
    <t>ZAR</t>
  </si>
  <si>
    <t>Global direct lending</t>
  </si>
  <si>
    <t>eFront Insights Research Global Infrastructure Index</t>
  </si>
  <si>
    <t>Global infrastructure equity</t>
  </si>
  <si>
    <t>Global core real estate</t>
  </si>
  <si>
    <t>eFront Insights Research Global Private Equity Buyout Index</t>
  </si>
  <si>
    <t>Global private equity (buyout)</t>
  </si>
  <si>
    <t>FTSE/JSE All Bond Index</t>
  </si>
  <si>
    <t>South Africa government bonds</t>
  </si>
  <si>
    <t>Fixed income</t>
  </si>
  <si>
    <t>Short-Term Fixed Interest (STeFI) Composite Index</t>
  </si>
  <si>
    <t>South Africa Cash</t>
  </si>
  <si>
    <t>JP Morgan GBI-EM Global Diversified Index</t>
  </si>
  <si>
    <t>Local-currency EM debt</t>
  </si>
  <si>
    <t>Bloomberg Barclays Global High Yield Index</t>
  </si>
  <si>
    <t>Global high yield bonds</t>
  </si>
  <si>
    <t>BBG Barc Global Aggregate Corporate Index</t>
  </si>
  <si>
    <t>Global corporate bonds</t>
  </si>
  <si>
    <t xml:space="preserve">JP Morgan EMBI Global Diversified Index </t>
  </si>
  <si>
    <t>USD EM debt</t>
  </si>
  <si>
    <t>BBG Barc Global Aggregate Treasury Index</t>
  </si>
  <si>
    <t>Global Treasuries</t>
  </si>
  <si>
    <t>BBG Barclays Global Agg Hedged to USD (in ZAR)</t>
  </si>
  <si>
    <t>Global aggregate bonds</t>
  </si>
  <si>
    <t>MSCI South Africa Net Return ZAR Index Local</t>
  </si>
  <si>
    <t>South Africa equities</t>
  </si>
  <si>
    <t>Equities</t>
  </si>
  <si>
    <t>MSCI World Gross TR Index</t>
  </si>
  <si>
    <t>Global large cap equities</t>
  </si>
  <si>
    <t>MSCI World Small Cap Index</t>
  </si>
  <si>
    <t>Global small cap equities</t>
  </si>
  <si>
    <t xml:space="preserve">MSCI Emerging Markets Index </t>
  </si>
  <si>
    <t>Emerging large cap equities</t>
  </si>
  <si>
    <t>MSCI Europe index</t>
  </si>
  <si>
    <t>Europe large cap equities</t>
  </si>
  <si>
    <t>USD</t>
  </si>
  <si>
    <t>NCREIF Open-end Diversified Core Equity (NFI-ODCE)</t>
  </si>
  <si>
    <t>HFRI Composite Index</t>
  </si>
  <si>
    <t>Hedge funds (global)</t>
  </si>
  <si>
    <t>eFront Insights Research US Private Equity Buyout Index</t>
  </si>
  <si>
    <t>BBG Barc China Treasury + Policy Bank Total Return Index</t>
  </si>
  <si>
    <t>Bloomberg Barclays Global Aggregate Treasury Index ex US</t>
  </si>
  <si>
    <t>Bloomberg Barclays US Government Inflation-Linked Bond Index</t>
  </si>
  <si>
    <t>Bloomberg Barclays U.S. High Yield Index</t>
  </si>
  <si>
    <t>Bloomberg Barclays Long Goverment index</t>
  </si>
  <si>
    <t>Bloomberg Barclays Government Index</t>
  </si>
  <si>
    <t>Bloomberg Barclays Long Credit index</t>
  </si>
  <si>
    <t>Bloomberg Barclays U.S. Credit Index</t>
  </si>
  <si>
    <t>Bloomberg Barclays US MBS Index</t>
  </si>
  <si>
    <t>Bloomberg Barclays U.S. Aggregate Index</t>
  </si>
  <si>
    <t>S&amp;P/LSTA Leveraged Loan Index</t>
  </si>
  <si>
    <t>Citigroup 3-Month Treasury Bill Index</t>
  </si>
  <si>
    <t>FTSE EPRA Nareit Developed Index (Gross)</t>
  </si>
  <si>
    <t>Listed REITs</t>
  </si>
  <si>
    <t>FTSE Developed Core Infrastructure Net Index</t>
  </si>
  <si>
    <t>Listed infrastructure equities</t>
  </si>
  <si>
    <t>MSCI China A Inclusion NET Index</t>
  </si>
  <si>
    <t>MSCI Emerging - China in CNY</t>
  </si>
  <si>
    <t>MSCI USA Small Cap Index</t>
  </si>
  <si>
    <t>MSCI World ex-US Index</t>
  </si>
  <si>
    <t>Global 60/40 portfolio</t>
  </si>
  <si>
    <t>SGD</t>
  </si>
  <si>
    <t>Bloomberg Barclays Global Aggregate Index</t>
  </si>
  <si>
    <t>Bloomberg Barclays Global Aggregate - Corporates Index</t>
  </si>
  <si>
    <t>BlackRock SGD Cash Benchmark</t>
  </si>
  <si>
    <t>Singapore Cash</t>
  </si>
  <si>
    <t>JP Morgan GBI Singapore Index</t>
  </si>
  <si>
    <t>Singapore government bonds</t>
  </si>
  <si>
    <t>China-Ashares</t>
  </si>
  <si>
    <t>MSCI Emerging - China in SGD</t>
  </si>
  <si>
    <t>China-Broad market</t>
  </si>
  <si>
    <t>MSCI Singapore equities</t>
  </si>
  <si>
    <t>Singapore equities</t>
  </si>
  <si>
    <t>MSCI Japan Index</t>
  </si>
  <si>
    <t>Japan large cap equities</t>
  </si>
  <si>
    <t>NZD</t>
  </si>
  <si>
    <t>BBG Barc Global Treasury New Zealand 7-10 Years Index</t>
  </si>
  <si>
    <t>New Zealand government bonds</t>
  </si>
  <si>
    <t>BBG Barc Global Inflation Linked New Zealand (L-Series) Index</t>
  </si>
  <si>
    <t>New Zealand inflation linked bonds</t>
  </si>
  <si>
    <t>S&amp;P/NZX A-Grade Corporate Bond Index</t>
  </si>
  <si>
    <t>New Zealand credit</t>
  </si>
  <si>
    <t xml:space="preserve">3-month cash of New Zealand government bond quality </t>
  </si>
  <si>
    <t>New Zealand Cash</t>
  </si>
  <si>
    <t>MSCI All Country World ex-Australia ex New-Zealand Index (Net NZD)</t>
  </si>
  <si>
    <t>Global ex-Australia ex-New Zealand large cap equities</t>
  </si>
  <si>
    <t>MSCI Developed New-Zealand</t>
  </si>
  <si>
    <t>New Zealand large cap equities</t>
  </si>
  <si>
    <t>MXN</t>
  </si>
  <si>
    <t xml:space="preserve">S&amp;P/BMV Corporate Bond Index Total Return </t>
  </si>
  <si>
    <t>Mexican credit</t>
  </si>
  <si>
    <t>S&amp;P/BMV Sovereign MBONOS Bond Index Total Return</t>
  </si>
  <si>
    <t>Mexican government bonds</t>
  </si>
  <si>
    <t xml:space="preserve">3-month cash of Mexican government bond quality </t>
  </si>
  <si>
    <t>Mexican cash</t>
  </si>
  <si>
    <t>MSCI Emerging Mexico</t>
  </si>
  <si>
    <t>Mexican large cap equities</t>
  </si>
  <si>
    <t>JPY</t>
  </si>
  <si>
    <t>Bloomberg Barclays Japan Aggregate Index</t>
  </si>
  <si>
    <t>Japanese bonds (broad market)</t>
  </si>
  <si>
    <t xml:space="preserve">Bloomberg Barclays Global Treasury ex Japan Index </t>
  </si>
  <si>
    <t>BofA Merrill Lynch Global High Yield Index - hedged</t>
  </si>
  <si>
    <t xml:space="preserve">Bloomberg Barclays Japan Treasury Over 10 Year Index </t>
  </si>
  <si>
    <t>Bloomberg Barclays Japanese Credit Index</t>
  </si>
  <si>
    <t>Japanese corporate bonds</t>
  </si>
  <si>
    <t xml:space="preserve">Bloomberg Barclays Japan Government Inflation-Linked Bond Index </t>
  </si>
  <si>
    <t xml:space="preserve">Bloomberg Barclays Global Treasury Japan Index </t>
  </si>
  <si>
    <t xml:space="preserve">3-month cash of Japanese government bond quality </t>
  </si>
  <si>
    <t>Japan cash</t>
  </si>
  <si>
    <t>MSCI World ex Japan Index</t>
  </si>
  <si>
    <t>Global ex Japan large cap equities</t>
  </si>
  <si>
    <t>HKD</t>
  </si>
  <si>
    <t>Chinese treasuries</t>
  </si>
  <si>
    <t>Markit iBoxx ALBI Hong Kong Government Index</t>
  </si>
  <si>
    <t>Hong Kong government bonds</t>
  </si>
  <si>
    <t>BlackRock HKD Cash Benchmark</t>
  </si>
  <si>
    <t>Hong Kong Dollar Cash</t>
  </si>
  <si>
    <t>Hang Seng HSI Total Return Index</t>
  </si>
  <si>
    <t>China Hang Seng equities</t>
  </si>
  <si>
    <t>CSI 300</t>
  </si>
  <si>
    <t>China CSI 300 equities</t>
  </si>
  <si>
    <t>GBP</t>
  </si>
  <si>
    <t>BofA Merrill Lynch Global Government ex UK Index</t>
  </si>
  <si>
    <t xml:space="preserve">Bloomberg Barclays Sterling Aggregate Corporate Bond Index </t>
  </si>
  <si>
    <t>UK corporate bonds (all maturities)</t>
  </si>
  <si>
    <t>BofA Merrill Lynch 10+ Year Sterling Corporate Index</t>
  </si>
  <si>
    <t>UK corporate bonds (10+ years)</t>
  </si>
  <si>
    <t>5+ year zero coupon liability</t>
  </si>
  <si>
    <t>UK index-linked gilts (5+ year)</t>
  </si>
  <si>
    <t>FTA All Stocks Gilt Index</t>
  </si>
  <si>
    <t>FTA Over 15 Year Gilt Index</t>
  </si>
  <si>
    <t xml:space="preserve">3-month cash of UK government bond quality </t>
  </si>
  <si>
    <t>UK cash</t>
  </si>
  <si>
    <t>MSCI World ex UK Index</t>
  </si>
  <si>
    <t>Global ex-UK large cap equities</t>
  </si>
  <si>
    <t>MSCI United Kingdom Index</t>
  </si>
  <si>
    <t>UK large cap equities</t>
  </si>
  <si>
    <t>EUR</t>
  </si>
  <si>
    <t>BofA Merrill Lynch Global Government ex EMU Index</t>
  </si>
  <si>
    <t>Bloomberg Barclays Euro Aggregate Corporate Long Index</t>
  </si>
  <si>
    <t>EMU corporate bonds (10+ years)</t>
  </si>
  <si>
    <t>Bloomberg Barclays Euro Aggregate Treasury 15+ Index</t>
  </si>
  <si>
    <t>Bloomberg Barclays Euro Government Inflation-Linked Bond Index</t>
  </si>
  <si>
    <t>Bloomberg Barclays Euro Aggregate Treasury Index</t>
  </si>
  <si>
    <t>EMU treasury bonds</t>
  </si>
  <si>
    <t>Bloomberg Barclays Euro Aggregate Corporate Index</t>
  </si>
  <si>
    <t>EMU corporate bonds</t>
  </si>
  <si>
    <t xml:space="preserve">3-month cash of EMU government bond quality </t>
  </si>
  <si>
    <t>EMU cash</t>
  </si>
  <si>
    <t>MSCI World ex EMU Index</t>
  </si>
  <si>
    <t>Global ex-EMU large cap equities</t>
  </si>
  <si>
    <t>CNY</t>
  </si>
  <si>
    <t>JP JACI China corporate</t>
  </si>
  <si>
    <t>China credit</t>
  </si>
  <si>
    <t>BlackRock CNY Cash Benchmark</t>
  </si>
  <si>
    <t>China Cash</t>
  </si>
  <si>
    <t>CHF</t>
  </si>
  <si>
    <t>BofA Merrill Lynch Global Inflation-Linked Government Index</t>
  </si>
  <si>
    <t>Developed inflation-linked bonds</t>
  </si>
  <si>
    <t>SBI Domestic Government Total Return Index</t>
  </si>
  <si>
    <t>Bloomberg Barclays Swiss Government 10+ Yr Index</t>
  </si>
  <si>
    <t>Bloomberg Barclays Global Aggregate Corporate - Switzerland Index</t>
  </si>
  <si>
    <t>Swiss corporate bonds</t>
  </si>
  <si>
    <t xml:space="preserve">3-month cash of Swiss government bond quality </t>
  </si>
  <si>
    <t>Swiss cash</t>
  </si>
  <si>
    <t>MSCI World ex Switzerland Index</t>
  </si>
  <si>
    <t>Global ex Switzerland large cap equities</t>
  </si>
  <si>
    <t>Switzerland SPI Index</t>
  </si>
  <si>
    <t>Swiss large cap equities</t>
  </si>
  <si>
    <t>CAD</t>
  </si>
  <si>
    <t>BOAICE BofAML Canadian Governments Inflation-Linked</t>
  </si>
  <si>
    <t xml:space="preserve">Bloomberg Barclays Global Treasury Canada Index </t>
  </si>
  <si>
    <t>BBG Barc Canadian Corporates Long Index</t>
  </si>
  <si>
    <t>Canadian corporate bonds (10+ years)</t>
  </si>
  <si>
    <t>BBG Barc Canadian Aggregate Corporate Bond Index</t>
  </si>
  <si>
    <t>Canadian corporate bonds (all maturities)</t>
  </si>
  <si>
    <t>FTSE TMX Canada Long Term Overall Bond Index</t>
  </si>
  <si>
    <t>Canadian long bonds</t>
  </si>
  <si>
    <t>FTSE TMX Canada Universe Bond Index</t>
  </si>
  <si>
    <t xml:space="preserve">3-month cash of Canadian government bond quality </t>
  </si>
  <si>
    <t>Canada cash</t>
  </si>
  <si>
    <t>MSCI World ex Canada Index</t>
  </si>
  <si>
    <t>Global ex-Canada large cap equities</t>
  </si>
  <si>
    <t>MSCI Canada Index</t>
  </si>
  <si>
    <t>Canada large cap equities</t>
  </si>
  <si>
    <t>AUD</t>
  </si>
  <si>
    <t>Bloomberg Barclays Australian Aggregate Treasury Index</t>
  </si>
  <si>
    <t xml:space="preserve">Bloomberg Barclays Australia Treasury Over 10 Year Index </t>
  </si>
  <si>
    <t xml:space="preserve">Bloomberg Barclays Australia Government Inflation-Linked Bond Index </t>
  </si>
  <si>
    <t>BofA Merrill Lynch Australia Corporate Index</t>
  </si>
  <si>
    <t>Australian corporate bonds</t>
  </si>
  <si>
    <t xml:space="preserve">3-month cash of Australian government bond quality </t>
  </si>
  <si>
    <t>Australian cash</t>
  </si>
  <si>
    <t>MSCI Australia Index</t>
  </si>
  <si>
    <t>Australia large cap equities</t>
  </si>
  <si>
    <t>MSCI World ex Australia Index</t>
  </si>
  <si>
    <t>Global ex-Australia large cap equities</t>
  </si>
  <si>
    <t>Government bonds</t>
  </si>
  <si>
    <t>30 year</t>
  </si>
  <si>
    <t>25 year</t>
  </si>
  <si>
    <t>20 year</t>
  </si>
  <si>
    <t>15 year</t>
  </si>
  <si>
    <t>10 year</t>
  </si>
  <si>
    <t>7 year</t>
  </si>
  <si>
    <t>5 year</t>
  </si>
  <si>
    <t>Index</t>
  </si>
  <si>
    <t>Asset</t>
  </si>
  <si>
    <t>Asset class</t>
  </si>
  <si>
    <t>Currency</t>
  </si>
  <si>
    <t>Correlation</t>
  </si>
  <si>
    <t>Volatility</t>
  </si>
  <si>
    <t>Upper mean uncertainty</t>
  </si>
  <si>
    <t>Lower mean uncertainty</t>
  </si>
  <si>
    <t>Upper interquartile range (25th percentile)</t>
  </si>
  <si>
    <t>Lower interquartile range (25th percentile)</t>
  </si>
  <si>
    <t>Expected returns</t>
  </si>
  <si>
    <t>BlackRock asset class return, uncertainty, volatility and correlation expectations</t>
  </si>
  <si>
    <t xml:space="preserve">Euro </t>
  </si>
  <si>
    <t>Reserve Management Survey Report 2023 from World Bank  Survey</t>
  </si>
  <si>
    <t>UK charities tend to have recurring income needs that require a stream of GBP cash inflows. To be able to meet the income needs and maintain a global portfolio, we propose currency hedging most of the overseas exposure. In the SAA we fully hedge developed market exposures, partially hedge U.S. dollar and leave Japanese Yen mostly unhedged, which we think reduces overall risk through its diversification benefit as a risk-off asset.</t>
  </si>
  <si>
    <t>We break up the government bonds bucket with an allocation to inflation-linked bonds. We believe long-term supply shocks will keep inflation higher to what the market is pricing.</t>
  </si>
  <si>
    <t>Our SAA holds a wide range of granular fixed income and equity assets with direct exposures to distinct regions, equity sectors and certain parts of the yield curve. We believe the finer granularity is important for portfolio diversification in an environment where historically negative stock-bond correlation may be challenged and duration choices become more dynamic.</t>
  </si>
  <si>
    <t>Positioning for mega forces:</t>
  </si>
  <si>
    <t>We find many UK charity clients have significant home bias, with a large portion of their holdings in domestic assets. We think a global approach provides numerous benefits – in terms of return, diversification and opportunities in emerging markets. In our portfolio construction process, we are impartial towards UK assets and suggest a portfolio that is diversified across international investments.</t>
  </si>
  <si>
    <t>Australian inflation-linked treasuries</t>
  </si>
  <si>
    <t>Australian treasuries (10+ years)</t>
  </si>
  <si>
    <t>Australian treasuries</t>
  </si>
  <si>
    <t xml:space="preserve">US bank loans </t>
  </si>
  <si>
    <t>US core real estate</t>
  </si>
  <si>
    <t>Canadian bond aggregate</t>
  </si>
  <si>
    <t>Canadian Treasuries (all maturities)</t>
  </si>
  <si>
    <t>Canadian inflation-linked Treasuries</t>
  </si>
  <si>
    <t>US bank loans</t>
  </si>
  <si>
    <t>Local-currency EM debt (unhedged)</t>
  </si>
  <si>
    <t>Swiss 10+ year govt bonds</t>
  </si>
  <si>
    <t>Swiss government bonds</t>
  </si>
  <si>
    <t>EMU index-linked treasuries</t>
  </si>
  <si>
    <t>EMU treasuries (15+ years)</t>
  </si>
  <si>
    <t>Developed ex EMU treasuries</t>
  </si>
  <si>
    <t>UK gilts (15+ years)</t>
  </si>
  <si>
    <t>UK gilts (all maturities)</t>
  </si>
  <si>
    <t>Global ex-UK Treasuries</t>
  </si>
  <si>
    <t>INR</t>
  </si>
  <si>
    <t>India equities</t>
  </si>
  <si>
    <t>S&amp;P India LargeCap Index</t>
  </si>
  <si>
    <t>India Cash</t>
  </si>
  <si>
    <t>BlackRock INR Cash Benchmark</t>
  </si>
  <si>
    <t>India government bonds</t>
  </si>
  <si>
    <t>ICE BofA ML India All Maturity Index</t>
  </si>
  <si>
    <t>Japanese treasuries (all maturity)</t>
  </si>
  <si>
    <t>Japanese inflation-linked treasuries</t>
  </si>
  <si>
    <t>Japanese treasuries (10+ years)</t>
  </si>
  <si>
    <t>Global treasuries ex Japan hedged</t>
  </si>
  <si>
    <t>US credit (all maturities)</t>
  </si>
  <si>
    <t>US government (all maturities)</t>
  </si>
  <si>
    <t>US high yield</t>
  </si>
  <si>
    <t>Global ex-US large cap equities</t>
  </si>
  <si>
    <t>US small cap equities</t>
  </si>
  <si>
    <t>US aggregate bond index</t>
  </si>
  <si>
    <t>US agency MBS</t>
  </si>
  <si>
    <t>US credit (10+ years)</t>
  </si>
  <si>
    <t>US government (10+ years)</t>
  </si>
  <si>
    <t>US inflation-linked government</t>
  </si>
  <si>
    <t>US cash</t>
  </si>
  <si>
    <t>Global ex-US treasuries (hedged)</t>
  </si>
  <si>
    <t>US private equity (buyout)</t>
  </si>
  <si>
    <t>We propose a 25% allocation to private markets, a level not typically seen in traditional UK charity portfolios. Many investors avoid large private market holdings due to liquidity concerns. Our analysis suggests that a 25% allocation is unlikely to cause liquidity concerns relative to the typical spending need of UK charities, and that income and growth private assets alike offer excellent risk-return tradeoff.</t>
  </si>
  <si>
    <t>2.8%</t>
  </si>
  <si>
    <t>Fixed Income (15%), Equities (63%), Private Markets (17%), Hedge Funds (5%)</t>
  </si>
  <si>
    <t>We compare our SAA to the asset allocation of a hypothetical peer group, described below. The SAA has a 1.5% expected surplus return, excluding any alpha potential, in a central scenario assuming 10-year asset returns per our CMAs. Notable features of the portfolio include:</t>
  </si>
  <si>
    <t>We compare our SAA to the asset allocation of a hypothetical representative multi-asset portfolio, described below. The SAA would deliver a higher return for less risk over the investor’s time horizon, in a central scenario assuming asset returns per our CMAs. We have a sizeable allocation to private markets, which we believe provides both return and diversification benefits. Key differentiators from the representative group include:</t>
  </si>
  <si>
    <t>7.9% volatility</t>
  </si>
  <si>
    <t>6.9% volatility</t>
  </si>
  <si>
    <t>Fixed income (50%), Equities (44%), Private markets and Hedge Funds (6%), Cash (0%)</t>
  </si>
  <si>
    <t>5.1%</t>
  </si>
  <si>
    <t>MSCI World Index</t>
  </si>
  <si>
    <t>All country large cap equities</t>
  </si>
  <si>
    <t>MSCI All Country World Index</t>
  </si>
  <si>
    <t>Global aggregate bonds (hedged)</t>
  </si>
  <si>
    <t>US large cap equities</t>
  </si>
  <si>
    <t>MSCI USA Index</t>
  </si>
  <si>
    <t>EMU large cap equities</t>
  </si>
  <si>
    <t>MSCI EMU Index</t>
  </si>
  <si>
    <t>5.5%</t>
  </si>
  <si>
    <t>4.0%</t>
  </si>
  <si>
    <t>4.8%</t>
  </si>
  <si>
    <t>2.7%</t>
  </si>
  <si>
    <t>Our portfolio construction process uses sectors as the unit of analysis within equities to inform our overall views. We overweight those that we think will benefit from mega forces, such as IT for AI exposure and health care in an environment of demographic divergence.</t>
  </si>
  <si>
    <t>Exchange rate risk is often overlooked in the portfolio design phase, in our view. We determine currency hedge ratios at the whole portfolio level, based on risk and return contribution of each currency, rather than determining hedge ratios per asset class. We hedge most developed market currencies fully, partially hedge the dollar and leave Japanese Yen largely unhedged given its diversification benefits.</t>
  </si>
  <si>
    <t>The decision to hedge currency exposure is based on the contribution to total portfolio risk and return. In our SAA, we find that partially hedging U.S. dollar exposure and leaving Japanese Yen unhedged offers the best risk-return profile, accounting for the fact that the currency outlook for the Euro may be challenged over the coming years.</t>
  </si>
  <si>
    <t>11.4% volatility</t>
  </si>
  <si>
    <t>12.8% volatility</t>
  </si>
  <si>
    <t>Real estate mezzanine debt</t>
  </si>
  <si>
    <t>China government bonds</t>
  </si>
  <si>
    <t>November 2025, data as of 30 September 2025</t>
  </si>
  <si>
    <t>7.0 - 11.6%; Central return estimate: 9.3%</t>
  </si>
  <si>
    <t>0.8 - 2.4%; Central return estimate: 1.5%</t>
  </si>
  <si>
    <t>4.2 - 5.6%; Central return estimate: 4.9%</t>
  </si>
  <si>
    <t>6.2 - 10.1%; Central return estimate: 8.1%</t>
  </si>
  <si>
    <t>5.3 - 7.9%; Central return estimate: 6.6%</t>
  </si>
  <si>
    <t>5.9 - 9.4%; Central return estimate: 7.6%</t>
  </si>
  <si>
    <t>4.3 - 7.0%; Central return estimate: 5.7%</t>
  </si>
  <si>
    <t>7.0 - 12.3%</t>
  </si>
  <si>
    <t>0.8 - 2.4%</t>
  </si>
  <si>
    <t>4.2 - 5.6%</t>
  </si>
  <si>
    <t>6.2 - 10.6%</t>
  </si>
  <si>
    <t>5.3 - 8.4%</t>
  </si>
  <si>
    <t>5.9 - 10.0%</t>
  </si>
  <si>
    <t>4.3 - 7.7%</t>
  </si>
  <si>
    <t>0.5%</t>
  </si>
  <si>
    <t>3.6%</t>
  </si>
  <si>
    <t>We compare our SAA to the asset allocation of a hypothetical peer group, described below. The SAA would deliver a 1.7% higher return for similar but slightly higher risk, excluding any alpha potential, in a central scenario assuming 20-year asset returns per our CMAs. Key differentiators from the peer group average include:</t>
  </si>
  <si>
    <t>The SAA would deliver a 0.4% higher return for less risk than a stylized peer group over the investor's time horizon, in a central scenario assuming asset returns per our CMAs. The hypothetical peer group is described below. Downside performance — an important criteria for this investor type — is also better. We see government bonds playing a core role, especially short-dated Treasuries, given the explicit need for liquid assets for reserve managers. Key differentiators from typical allocations include:</t>
  </si>
  <si>
    <t>The SAA would deliver a 0.3% higher return for lower risk, excluding any alpha potential, compared to a stylized peer group over the investor's time horizon, in a central scenario assuming asset returns per our CMAs. The hypothetical peer group is described below. Private markets is a significant part of the portfolio, providing both return and diversification benefits. Key differentiators from the peer group include:</t>
  </si>
  <si>
    <t>We compare our SAA to the asset allocation of a hypothetical peer group, described below. The SAA would achieve a 1.9% higher return for less risk, excluding any alpha potential, in a central scenario assuming 10-year asset returns per our CMAs. Alternatives is a significant part of the portfolio, providing both return and diversification benefits. Key differentiators from the peer group average include</t>
  </si>
  <si>
    <t>We compare our SAA to the average asset allocation of European clients, described below. The SAA would achieve a 2.0% higher return with slightly higher volatility, excluding any alpha potential, in a central scenario assuming 10-year asset returns per our CMAs.</t>
  </si>
  <si>
    <t>Our portfolio construction process uses sectors as the unit of analysis within equities to inform our overall views. The new regime of higher macro volatility underscores the importance of a more granular, sectoral approach which allows investors to better tap into structural themes and exploit expected sector divergences over a strategic horizon. Within our regional equity allocation, we have explicit overweights to sectors which we believe will benefit, such as from the AI disruption, and underweight others where mega forces may be challenging.</t>
  </si>
  <si>
    <t>We find many family offices leave currency exposure unhedged. In our framework, the decision to hedge exchange rate exposure is based on the contribution to overall risk and return. In this SAA, we hedge all Developed Market currencies besides the yen, which we think reduces overall risk through its diversification benefit.</t>
  </si>
  <si>
    <t>BlackRock U.S. Pension Funding Update, based on data from the top 200 public corporate pension plans as of 12/31/2024.</t>
  </si>
  <si>
    <t>Liability-hedging fixed income (59%), other fixed income (0%), Equities (27%), Private Markets and Hedge Funds (11%), Cash (3%)</t>
  </si>
  <si>
    <t>5.1 - 10.0%; Central return estimate: 7.6%</t>
  </si>
  <si>
    <t>0.0 - 3.0%; Central return estimate: 1.5%</t>
  </si>
  <si>
    <t>3.6 - 5.4%; Central return estimate: 4.5%</t>
  </si>
  <si>
    <t>5.1 - 10.5%; Central return estimate: 7.8%</t>
  </si>
  <si>
    <t>3.2 - 6.1%; Central return estimate: 4.7%</t>
  </si>
  <si>
    <t>4.4 - 9.0%; Central return estimate: 6.7%</t>
  </si>
  <si>
    <t>2.0 - 5.4%; Central return estimate: 3.7%</t>
  </si>
  <si>
    <t>12.2% volatility</t>
  </si>
  <si>
    <t>9.5% volatility</t>
  </si>
  <si>
    <t>3.8%</t>
  </si>
  <si>
    <t>-0.9%</t>
  </si>
  <si>
    <t>3.9%</t>
  </si>
  <si>
    <t>1.6%</t>
  </si>
  <si>
    <t>3.0%</t>
  </si>
  <si>
    <t>0.9%</t>
  </si>
  <si>
    <r>
      <rPr>
        <b/>
        <sz val="10"/>
        <color theme="1"/>
        <rFont val="Arial"/>
        <family val="2"/>
      </rPr>
      <t>Past performance is not a reliable indicator of current or future results. This information is not intended as a recommendation to invest in any particular asset class or strategy or as a promise - or even estimate - of future performance.</t>
    </r>
    <r>
      <rPr>
        <sz val="10"/>
        <color theme="1"/>
        <rFont val="Calibri"/>
        <family val="2"/>
        <scheme val="minor"/>
      </rPr>
      <t xml:space="preserve">
Sources: BlackRock Investment Institute, with data from Refinitiv Datastream and Bloomberg, October 2025. Data as of 30 September 2025. Notes: The tables show hypothetical SAA and certain performance metrics for the peer groups used in our analysis. Index proxies can be found on the Assumptions tab under the info icons in the Assumptions at a glance table. Fee assumptions are listed on the methodology tab. The expected returns range is based on the 25th and 75th percentile of expected return outcomes as detailed here. The return estimate assuming bottom half of outcomes shows how the asset allocation may perform in adverse economic outcomes. It is derived by considering only the bottom-half of our simulated return pathways and applying the weighted average of expected returns from this set to the asset allocation mix. Peer groups return ranges do not include alpha potential. Hedge fund allocations are included in private markets for peer groups. For assets without indices (private markets), we have assumed top-quartile performance. The allocation shown above does not represent any existing portfolio, and as such, is not an investible product. The construction of the hypothetical asset allocation is based on criteria applied with the benefit of hindsight and knowledge of factors that may have positively affected it's performance, and cannot account for risk factors that may affect the actual portfolio's performance. The actual performance may vary significantly from our modelled CMAs due to transaction costs, liquidity or other market factors. Indexes are unmanaged, do not account for management fees and one cannot invest directly in an index. We use BlackRock proxies for selected private markets because of lack of sufficient data. These proxies represent the mix of risk factor exposures that we believe represents the economic sensitivity of the given asset class.</t>
    </r>
  </si>
  <si>
    <t>5.21477E-05</t>
  </si>
  <si>
    <t>9.50464E-05</t>
  </si>
  <si>
    <t>2.57174E-05</t>
  </si>
  <si>
    <t>9.33191E-05</t>
  </si>
  <si>
    <t>6.64907E-05</t>
  </si>
  <si>
    <t xml:space="preserve">
BIIH1125E/M-4965271</t>
  </si>
  <si>
    <t>from 11% private markets to 5% in FI, 5% in Eq an remaining 1% in Commodities just as a prior!!</t>
  </si>
  <si>
    <t>Fixed income (34%), Equities (59%), Private Markets and Hedge Funds (0%), Cash (5%), Commodities (1.2%)</t>
  </si>
  <si>
    <t>US Large Cap</t>
  </si>
  <si>
    <t>SPY</t>
  </si>
  <si>
    <t>S&amp;P 500</t>
  </si>
  <si>
    <t>LQD</t>
  </si>
  <si>
    <t>DBC</t>
  </si>
  <si>
    <t>Ticker</t>
  </si>
  <si>
    <t>Underlying Index</t>
  </si>
  <si>
    <t>Approx. Index Market Cap</t>
  </si>
  <si>
    <t>Region/Type</t>
  </si>
  <si>
    <t>$50.5 Trillion</t>
  </si>
  <si>
    <t>VGK</t>
  </si>
  <si>
    <t>MSCI Europe</t>
  </si>
  <si>
    <t>$10.2 Trillion</t>
  </si>
  <si>
    <t>Developed Europe</t>
  </si>
  <si>
    <t>EWJ</t>
  </si>
  <si>
    <t>MSCI Japan</t>
  </si>
  <si>
    <t>$4.1 Trillion</t>
  </si>
  <si>
    <t>Japan</t>
  </si>
  <si>
    <t>FXI</t>
  </si>
  <si>
    <t>FTSE China 50</t>
  </si>
  <si>
    <t>$1.8 Trillion</t>
  </si>
  <si>
    <t>China (Large Cap)</t>
  </si>
  <si>
    <t>INDY</t>
  </si>
  <si>
    <t>Nifty 50</t>
  </si>
  <si>
    <t>$2.2 Trillion</t>
  </si>
  <si>
    <t>India (Blue Chip)</t>
  </si>
  <si>
    <t>EWZ</t>
  </si>
  <si>
    <t>MSCI Brazil</t>
  </si>
  <si>
    <t>$0.45 Trillion</t>
  </si>
  <si>
    <t>Brazil</t>
  </si>
  <si>
    <t>IEF</t>
  </si>
  <si>
    <t>ICE US Treasury 7-10yr</t>
  </si>
  <si>
    <r>
      <t>$1.1 Trillion</t>
    </r>
    <r>
      <rPr>
        <sz val="10"/>
        <color rgb="FF1F1F1F"/>
        <rFont val="Arial"/>
        <family val="2"/>
      </rPr>
      <t>*</t>
    </r>
  </si>
  <si>
    <t>US Interm. Bond</t>
  </si>
  <si>
    <t>iBoxx USD Invest. Grade</t>
  </si>
  <si>
    <r>
      <t>$2.5 Trillion</t>
    </r>
    <r>
      <rPr>
        <sz val="10"/>
        <color rgb="FF1F1F1F"/>
        <rFont val="Arial"/>
        <family val="2"/>
      </rPr>
      <t>*</t>
    </r>
  </si>
  <si>
    <t>US Corp Bond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</si>
</sst>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000"/>
    <numFmt numFmtId="167" formatCode="0.000"/>
  </numFmts>
  <fonts count="16" x14ac:knownFonts="1">
    <font>
      <sz val="10"/>
      <color theme="1"/>
      <name val="Arial"/>
      <family val="2"/>
    </font>
    <font>
      <sz val="10"/>
      <color theme="1"/>
      <name val="Arial"/>
      <family val="2"/>
    </font>
    <font>
      <b/>
      <sz val="10"/>
      <color theme="0"/>
      <name val="Arial"/>
      <family val="2"/>
    </font>
    <font>
      <b/>
      <sz val="10"/>
      <color theme="1"/>
      <name val="Arial"/>
      <family val="2"/>
    </font>
    <font>
      <sz val="10"/>
      <color theme="0"/>
      <name val="Arial"/>
      <family val="2"/>
    </font>
    <font>
      <u/>
      <sz val="10"/>
      <color theme="10"/>
      <name val="Arial"/>
      <family val="2"/>
    </font>
    <font>
      <b/>
      <sz val="16"/>
      <color theme="1"/>
      <name val="Arial"/>
      <family val="2"/>
    </font>
    <font>
      <sz val="10"/>
      <color theme="1"/>
      <name val="Calibri"/>
      <family val="2"/>
      <scheme val="minor"/>
    </font>
    <font>
      <b/>
      <sz val="14"/>
      <color theme="0"/>
      <name val="Arial"/>
      <family val="2"/>
    </font>
    <font>
      <sz val="10"/>
      <color theme="1"/>
      <name val="Calibri"/>
      <family val="2"/>
      <scheme val="minor"/>
    </font>
    <font>
      <u/>
      <sz val="10"/>
      <color theme="10"/>
      <name val="Calibri"/>
      <family val="2"/>
      <scheme val="minor"/>
    </font>
    <font>
      <sz val="10"/>
      <color theme="1"/>
      <name val="Calibri"/>
      <family val="2"/>
      <scheme val="minor"/>
    </font>
    <font>
      <sz val="10"/>
      <color theme="1"/>
      <name val="Calibri"/>
      <family val="2"/>
      <scheme val="minor"/>
    </font>
    <font>
      <sz val="11"/>
      <color rgb="FF212529"/>
      <name val="Segoe UI"/>
      <family val="2"/>
    </font>
    <font>
      <sz val="10"/>
      <color rgb="FF1F1F1F"/>
      <name val="Arial"/>
      <family val="2"/>
    </font>
    <font>
      <b/>
      <sz val="10"/>
      <color rgb="FF1F1F1F"/>
      <name val="Arial"/>
      <family val="2"/>
    </font>
  </fonts>
  <fills count="9">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s>
  <cellStyleXfs count="15">
    <xf numFmtId="0" fontId="0" fillId="0" borderId="0"/>
    <xf numFmtId="0" fontId="5" fillId="0" borderId="0" applyNumberFormat="0" applyFill="0" applyBorder="0" applyAlignment="0" applyProtection="0"/>
    <xf numFmtId="0" fontId="7" fillId="0" borderId="0"/>
    <xf numFmtId="0" fontId="1" fillId="0" borderId="0"/>
    <xf numFmtId="9" fontId="1" fillId="0" borderId="0" applyFont="0" applyFill="0" applyBorder="0" applyAlignment="0" applyProtection="0"/>
    <xf numFmtId="0" fontId="5" fillId="0" borderId="0" applyNumberFormat="0" applyFill="0" applyBorder="0" applyAlignment="0" applyProtection="0"/>
    <xf numFmtId="0" fontId="9" fillId="0" borderId="0"/>
    <xf numFmtId="0" fontId="10" fillId="0" borderId="0" applyNumberFormat="0" applyFill="0" applyBorder="0" applyAlignment="0" applyProtection="0"/>
    <xf numFmtId="0" fontId="11" fillId="0" borderId="0"/>
    <xf numFmtId="0" fontId="1" fillId="0" borderId="0"/>
    <xf numFmtId="9" fontId="1" fillId="0" borderId="0" applyFont="0" applyFill="0" applyBorder="0" applyAlignment="0" applyProtection="0"/>
    <xf numFmtId="0" fontId="12" fillId="0" borderId="0"/>
    <xf numFmtId="0" fontId="1" fillId="0" borderId="0"/>
    <xf numFmtId="9" fontId="1" fillId="0" borderId="0" applyFont="0" applyFill="0" applyBorder="0" applyAlignment="0" applyProtection="0"/>
    <xf numFmtId="0" fontId="1" fillId="0" borderId="0"/>
  </cellStyleXfs>
  <cellXfs count="101">
    <xf numFmtId="0" fontId="0" fillId="0" borderId="0" xfId="0"/>
    <xf numFmtId="0" fontId="1" fillId="2" borderId="0" xfId="2" applyFont="1" applyFill="1" applyAlignment="1">
      <alignment wrapText="1"/>
    </xf>
    <xf numFmtId="0" fontId="1" fillId="2" borderId="0" xfId="2" applyFont="1" applyFill="1"/>
    <xf numFmtId="0" fontId="5" fillId="0" borderId="0" xfId="1" applyBorder="1" applyAlignment="1">
      <alignment vertical="center"/>
    </xf>
    <xf numFmtId="0" fontId="4" fillId="3" borderId="0" xfId="2" applyFont="1" applyFill="1" applyAlignment="1">
      <alignment vertical="center" wrapText="1"/>
    </xf>
    <xf numFmtId="0" fontId="1" fillId="2" borderId="0" xfId="2" applyFont="1" applyFill="1" applyAlignment="1">
      <alignment vertical="center" wrapText="1"/>
    </xf>
    <xf numFmtId="0" fontId="1" fillId="2" borderId="0" xfId="2" applyFont="1" applyFill="1" applyAlignment="1">
      <alignment vertical="center"/>
    </xf>
    <xf numFmtId="0" fontId="1" fillId="2" borderId="0" xfId="2" applyFont="1" applyFill="1" applyAlignment="1">
      <alignment vertical="top" wrapText="1"/>
    </xf>
    <xf numFmtId="0" fontId="1" fillId="4" borderId="0" xfId="2" applyFont="1" applyFill="1"/>
    <xf numFmtId="0" fontId="1" fillId="4" borderId="0" xfId="2" applyFont="1" applyFill="1" applyAlignment="1">
      <alignment wrapText="1"/>
    </xf>
    <xf numFmtId="0" fontId="2" fillId="3" borderId="1" xfId="2" applyFont="1" applyFill="1" applyBorder="1"/>
    <xf numFmtId="0" fontId="2" fillId="3" borderId="1" xfId="2" applyFont="1" applyFill="1" applyBorder="1" applyAlignment="1">
      <alignment horizontal="center" wrapText="1"/>
    </xf>
    <xf numFmtId="0" fontId="1" fillId="4" borderId="1" xfId="2" applyFont="1" applyFill="1" applyBorder="1" applyAlignment="1">
      <alignment vertical="center"/>
    </xf>
    <xf numFmtId="0" fontId="1" fillId="4" borderId="1" xfId="2" applyFont="1" applyFill="1" applyBorder="1" applyAlignment="1">
      <alignment vertical="center" wrapText="1"/>
    </xf>
    <xf numFmtId="0" fontId="1" fillId="2" borderId="1" xfId="2" applyFont="1" applyFill="1" applyBorder="1" applyAlignment="1">
      <alignment vertical="center"/>
    </xf>
    <xf numFmtId="0" fontId="1" fillId="2" borderId="1" xfId="2" applyFont="1" applyFill="1" applyBorder="1" applyAlignment="1">
      <alignment vertical="center" wrapText="1"/>
    </xf>
    <xf numFmtId="0" fontId="1" fillId="4" borderId="0" xfId="2" applyFont="1" applyFill="1" applyAlignment="1">
      <alignment vertical="center"/>
    </xf>
    <xf numFmtId="0" fontId="1" fillId="4" borderId="0" xfId="2" applyFont="1" applyFill="1" applyAlignment="1">
      <alignment vertical="center" wrapText="1"/>
    </xf>
    <xf numFmtId="0" fontId="2" fillId="3" borderId="1" xfId="2" applyFont="1" applyFill="1" applyBorder="1" applyAlignment="1">
      <alignment vertical="center"/>
    </xf>
    <xf numFmtId="0" fontId="2" fillId="3" borderId="1" xfId="2" applyFont="1" applyFill="1" applyBorder="1" applyAlignment="1">
      <alignment horizontal="center" vertical="center" wrapText="1"/>
    </xf>
    <xf numFmtId="0" fontId="1" fillId="4" borderId="1" xfId="2" applyFont="1" applyFill="1" applyBorder="1" applyAlignment="1">
      <alignment horizontal="left" vertical="center" wrapText="1"/>
    </xf>
    <xf numFmtId="0" fontId="1" fillId="2" borderId="0" xfId="2" applyFont="1" applyFill="1" applyAlignment="1">
      <alignment horizontal="left" vertical="center" wrapText="1"/>
    </xf>
    <xf numFmtId="0" fontId="1" fillId="2" borderId="1" xfId="2" applyFont="1" applyFill="1" applyBorder="1" applyAlignment="1">
      <alignment horizontal="left" vertical="center" wrapText="1"/>
    </xf>
    <xf numFmtId="0" fontId="3" fillId="4" borderId="2" xfId="2" applyFont="1" applyFill="1" applyBorder="1" applyAlignment="1">
      <alignment vertical="center"/>
    </xf>
    <xf numFmtId="0" fontId="1" fillId="4" borderId="2" xfId="2" applyFont="1" applyFill="1" applyBorder="1" applyAlignment="1">
      <alignment vertical="center" wrapText="1"/>
    </xf>
    <xf numFmtId="0" fontId="3" fillId="2" borderId="2" xfId="2" applyFont="1" applyFill="1" applyBorder="1" applyAlignment="1">
      <alignment vertical="center"/>
    </xf>
    <xf numFmtId="0" fontId="1" fillId="2" borderId="2" xfId="2" applyFont="1" applyFill="1" applyBorder="1" applyAlignment="1">
      <alignment vertical="center" wrapText="1"/>
    </xf>
    <xf numFmtId="0" fontId="3" fillId="4" borderId="0" xfId="2" applyFont="1" applyFill="1" applyAlignment="1">
      <alignment vertical="center"/>
    </xf>
    <xf numFmtId="0" fontId="3" fillId="2" borderId="0" xfId="2" applyFont="1" applyFill="1" applyAlignment="1">
      <alignment vertical="center"/>
    </xf>
    <xf numFmtId="0" fontId="2" fillId="3" borderId="3" xfId="2" applyFont="1" applyFill="1" applyBorder="1" applyAlignment="1">
      <alignment vertical="center"/>
    </xf>
    <xf numFmtId="0" fontId="2" fillId="3" borderId="0" xfId="2" applyFont="1" applyFill="1" applyAlignment="1">
      <alignment horizontal="center" vertical="center" wrapText="1"/>
    </xf>
    <xf numFmtId="0" fontId="1" fillId="4" borderId="3" xfId="2" applyFont="1" applyFill="1" applyBorder="1" applyAlignment="1">
      <alignment vertical="center"/>
    </xf>
    <xf numFmtId="0" fontId="1" fillId="4" borderId="0" xfId="2" applyFont="1" applyFill="1" applyAlignment="1">
      <alignment horizontal="left" vertical="center" wrapText="1"/>
    </xf>
    <xf numFmtId="0" fontId="1" fillId="2" borderId="3" xfId="2" applyFont="1" applyFill="1" applyBorder="1" applyAlignment="1">
      <alignment vertical="center"/>
    </xf>
    <xf numFmtId="0" fontId="1" fillId="2" borderId="3" xfId="2" applyFont="1" applyFill="1" applyBorder="1" applyAlignment="1">
      <alignment vertical="center" wrapText="1"/>
    </xf>
    <xf numFmtId="0" fontId="1" fillId="4" borderId="4" xfId="2" applyFont="1" applyFill="1" applyBorder="1" applyAlignment="1">
      <alignment vertical="center" wrapText="1"/>
    </xf>
    <xf numFmtId="0" fontId="5" fillId="4" borderId="2" xfId="5" applyFill="1" applyBorder="1" applyAlignment="1">
      <alignment vertical="center" wrapText="1"/>
    </xf>
    <xf numFmtId="0" fontId="5" fillId="2" borderId="2" xfId="5" applyFill="1" applyBorder="1" applyAlignment="1">
      <alignment vertical="center" wrapText="1"/>
    </xf>
    <xf numFmtId="0" fontId="5" fillId="4" borderId="0" xfId="5" applyFill="1" applyBorder="1" applyAlignment="1">
      <alignment vertical="center" wrapText="1"/>
    </xf>
    <xf numFmtId="0" fontId="5" fillId="2" borderId="0" xfId="5" applyFill="1" applyAlignment="1">
      <alignment vertical="center" wrapText="1"/>
    </xf>
    <xf numFmtId="0" fontId="3" fillId="0" borderId="0" xfId="0" applyFont="1" applyAlignment="1">
      <alignment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vertical="center"/>
    </xf>
    <xf numFmtId="0" fontId="3" fillId="0" borderId="8" xfId="0" applyFont="1" applyBorder="1" applyAlignment="1">
      <alignment vertical="center"/>
    </xf>
    <xf numFmtId="0" fontId="0" fillId="0" borderId="0" xfId="0" applyAlignment="1">
      <alignment vertical="center"/>
    </xf>
    <xf numFmtId="49" fontId="0" fillId="0" borderId="0" xfId="0" applyNumberFormat="1" applyAlignment="1">
      <alignment vertical="center"/>
    </xf>
    <xf numFmtId="0" fontId="6" fillId="0" borderId="0" xfId="0" applyFont="1" applyAlignment="1">
      <alignment vertical="center"/>
    </xf>
    <xf numFmtId="0" fontId="5" fillId="0" borderId="0" xfId="5" applyBorder="1" applyAlignment="1">
      <alignment vertical="center"/>
    </xf>
    <xf numFmtId="0" fontId="1" fillId="0" borderId="2" xfId="2" applyFont="1" applyBorder="1" applyAlignment="1">
      <alignment vertical="center" wrapText="1"/>
    </xf>
    <xf numFmtId="0" fontId="10" fillId="2" borderId="2" xfId="7" applyFill="1" applyBorder="1" applyAlignment="1">
      <alignment vertical="center" wrapText="1"/>
    </xf>
    <xf numFmtId="0" fontId="5" fillId="4" borderId="0" xfId="5" applyFill="1" applyAlignment="1">
      <alignment vertical="center" wrapText="1"/>
    </xf>
    <xf numFmtId="0" fontId="3" fillId="0" borderId="10" xfId="0" applyFont="1" applyBorder="1" applyAlignment="1">
      <alignment horizontal="left" vertical="center" wrapText="1"/>
    </xf>
    <xf numFmtId="0" fontId="6" fillId="2" borderId="0" xfId="12" applyFont="1" applyFill="1" applyAlignment="1">
      <alignment vertical="center"/>
    </xf>
    <xf numFmtId="0" fontId="1" fillId="0" borderId="0" xfId="12" applyAlignment="1">
      <alignment wrapText="1"/>
    </xf>
    <xf numFmtId="0" fontId="8" fillId="3" borderId="0" xfId="12" applyFont="1" applyFill="1" applyAlignment="1">
      <alignment vertical="center"/>
    </xf>
    <xf numFmtId="164" fontId="1" fillId="4" borderId="1" xfId="13" applyNumberFormat="1" applyFont="1" applyFill="1" applyBorder="1" applyAlignment="1">
      <alignment horizontal="left" vertical="center" wrapText="1"/>
    </xf>
    <xf numFmtId="164" fontId="1" fillId="2" borderId="1" xfId="13" applyNumberFormat="1" applyFont="1" applyFill="1" applyBorder="1" applyAlignment="1">
      <alignment horizontal="left" vertical="center" wrapText="1"/>
    </xf>
    <xf numFmtId="164" fontId="1" fillId="4" borderId="0" xfId="13" applyNumberFormat="1" applyFont="1" applyFill="1" applyBorder="1" applyAlignment="1">
      <alignment horizontal="left" vertical="center" wrapText="1"/>
    </xf>
    <xf numFmtId="9" fontId="1" fillId="2" borderId="1" xfId="13" applyFont="1" applyFill="1" applyBorder="1" applyAlignment="1">
      <alignment horizontal="left" vertical="center" wrapText="1"/>
    </xf>
    <xf numFmtId="164" fontId="1" fillId="2" borderId="0" xfId="13" applyNumberFormat="1" applyFont="1" applyFill="1" applyBorder="1" applyAlignment="1">
      <alignment horizontal="left" vertical="center" wrapText="1"/>
    </xf>
    <xf numFmtId="0" fontId="1" fillId="4" borderId="0" xfId="12" applyFill="1" applyAlignment="1">
      <alignment vertical="center" wrapText="1"/>
    </xf>
    <xf numFmtId="0" fontId="1" fillId="0" borderId="0" xfId="12" applyAlignment="1">
      <alignment vertical="center" wrapText="1"/>
    </xf>
    <xf numFmtId="164" fontId="1" fillId="4" borderId="0" xfId="13" applyNumberFormat="1" applyFont="1" applyFill="1" applyAlignment="1">
      <alignment horizontal="left" vertical="center" wrapText="1"/>
    </xf>
    <xf numFmtId="164" fontId="1" fillId="2" borderId="0" xfId="13" applyNumberFormat="1" applyFont="1" applyFill="1" applyAlignment="1">
      <alignment horizontal="left" vertical="center" wrapText="1"/>
    </xf>
    <xf numFmtId="9" fontId="1" fillId="2" borderId="0" xfId="13" applyFont="1" applyFill="1" applyAlignment="1">
      <alignment horizontal="left" vertical="center" wrapText="1"/>
    </xf>
    <xf numFmtId="0" fontId="13" fillId="0" borderId="0" xfId="0" applyFont="1"/>
    <xf numFmtId="0" fontId="0" fillId="2" borderId="0" xfId="2" applyFont="1" applyFill="1"/>
    <xf numFmtId="0" fontId="0" fillId="4" borderId="0" xfId="2" applyFont="1" applyFill="1" applyAlignment="1">
      <alignment vertical="center" wrapText="1"/>
    </xf>
    <xf numFmtId="165" fontId="0" fillId="0" borderId="0" xfId="0" applyNumberFormat="1"/>
    <xf numFmtId="165" fontId="0" fillId="0" borderId="0" xfId="0" quotePrefix="1" applyNumberFormat="1"/>
    <xf numFmtId="0" fontId="6" fillId="5" borderId="0" xfId="0" applyFont="1" applyFill="1" applyAlignment="1">
      <alignment vertical="center"/>
    </xf>
    <xf numFmtId="0" fontId="3" fillId="5" borderId="8" xfId="0" applyFont="1" applyFill="1" applyBorder="1" applyAlignment="1">
      <alignment horizontal="center" vertical="center"/>
    </xf>
    <xf numFmtId="165" fontId="0" fillId="5" borderId="0" xfId="0" applyNumberFormat="1" applyFill="1"/>
    <xf numFmtId="0" fontId="0" fillId="5" borderId="0" xfId="0" applyFill="1"/>
    <xf numFmtId="0" fontId="0" fillId="6" borderId="0" xfId="0" applyFill="1"/>
    <xf numFmtId="0" fontId="0" fillId="7" borderId="0" xfId="0" applyFill="1"/>
    <xf numFmtId="0" fontId="0" fillId="8" borderId="0" xfId="0" applyFill="1"/>
    <xf numFmtId="165" fontId="0" fillId="6" borderId="0" xfId="0" applyNumberFormat="1" applyFill="1"/>
    <xf numFmtId="0" fontId="15" fillId="0" borderId="11" xfId="0" applyFont="1" applyBorder="1" applyAlignment="1">
      <alignment horizontal="left" vertical="center" wrapText="1" indent="1" readingOrder="1"/>
    </xf>
    <xf numFmtId="0" fontId="14" fillId="0" borderId="11" xfId="0" applyFont="1" applyBorder="1" applyAlignment="1">
      <alignment horizontal="left" vertical="center" wrapText="1" indent="1" readingOrder="1"/>
    </xf>
    <xf numFmtId="0" fontId="15" fillId="0" borderId="12" xfId="0" applyFont="1" applyFill="1" applyBorder="1" applyAlignment="1">
      <alignment horizontal="left" vertical="center" wrapText="1" indent="1" readingOrder="1"/>
    </xf>
    <xf numFmtId="167" fontId="0" fillId="0" borderId="0" xfId="0" applyNumberFormat="1"/>
    <xf numFmtId="0" fontId="6" fillId="0" borderId="0" xfId="0" applyFont="1" applyAlignment="1">
      <alignment horizontal="left" vertical="center"/>
    </xf>
    <xf numFmtId="0" fontId="3" fillId="0" borderId="9" xfId="0" applyFont="1" applyBorder="1" applyAlignment="1">
      <alignment horizontal="left" vertical="center"/>
    </xf>
    <xf numFmtId="0" fontId="3" fillId="0" borderId="0" xfId="0" applyFont="1" applyAlignment="1">
      <alignment horizontal="left" vertical="center"/>
    </xf>
    <xf numFmtId="0" fontId="3" fillId="0" borderId="3" xfId="0" applyFont="1" applyBorder="1" applyAlignment="1">
      <alignment horizontal="left" vertical="center"/>
    </xf>
    <xf numFmtId="0" fontId="3" fillId="0" borderId="9" xfId="0" applyFont="1" applyBorder="1" applyAlignment="1">
      <alignment horizontal="left"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3" fillId="5" borderId="0" xfId="0" applyFont="1" applyFill="1" applyAlignment="1">
      <alignment horizontal="left" vertical="center" wrapText="1"/>
    </xf>
    <xf numFmtId="0" fontId="1" fillId="2" borderId="0" xfId="2" applyFont="1" applyFill="1" applyAlignment="1">
      <alignment wrapText="1"/>
    </xf>
    <xf numFmtId="0" fontId="1" fillId="0" borderId="0" xfId="12" applyAlignment="1">
      <alignment wrapText="1"/>
    </xf>
    <xf numFmtId="0" fontId="1" fillId="4" borderId="0" xfId="12" applyFill="1" applyAlignment="1">
      <alignment vertical="top" wrapText="1"/>
    </xf>
    <xf numFmtId="0" fontId="1" fillId="2" borderId="0" xfId="12" applyFill="1" applyAlignment="1">
      <alignment vertical="top" wrapText="1"/>
    </xf>
    <xf numFmtId="0" fontId="7" fillId="0" borderId="0" xfId="2" applyAlignment="1">
      <alignment wrapText="1"/>
    </xf>
    <xf numFmtId="0" fontId="1" fillId="0" borderId="0" xfId="14" applyAlignment="1">
      <alignment wrapText="1"/>
    </xf>
    <xf numFmtId="0" fontId="1" fillId="4" borderId="0" xfId="2" applyFont="1" applyFill="1" applyAlignment="1">
      <alignment vertical="center" wrapText="1"/>
    </xf>
    <xf numFmtId="0" fontId="1" fillId="2" borderId="0" xfId="2" applyFont="1" applyFill="1" applyAlignment="1">
      <alignment vertical="center" wrapText="1"/>
    </xf>
  </cellXfs>
  <cellStyles count="15">
    <cellStyle name="Hyperlink" xfId="1" builtinId="8"/>
    <cellStyle name="Hyperlink 2" xfId="5"/>
    <cellStyle name="Hyperlink 3" xfId="7"/>
    <cellStyle name="Normal" xfId="0" builtinId="0"/>
    <cellStyle name="Normal 2" xfId="2"/>
    <cellStyle name="Normal 3" xfId="6"/>
    <cellStyle name="Normal 4" xfId="8"/>
    <cellStyle name="Normal 5" xfId="3"/>
    <cellStyle name="Normal 5 3" xfId="9"/>
    <cellStyle name="Normal 5 3 2" xfId="14"/>
    <cellStyle name="Normal 5 4" xfId="12"/>
    <cellStyle name="Normal 6" xfId="11"/>
    <cellStyle name="Percent 4" xfId="4"/>
    <cellStyle name="Percent 4 3" xfId="10"/>
    <cellStyle name="Percent 4 4" xfI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47" Type="http://schemas.openxmlformats.org/officeDocument/2006/relationships/customXml" Target="../customXml/item1.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customXml" Target="../customXml/item3.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calcChain" Target="calcChain.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1" Type="http://schemas.openxmlformats.org/officeDocument/2006/relationships/worksheet" Target="worksheets/sheet1.xml"/><Relationship Id="rId6"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a.blkint.com\dfs\data\BII\Individual%20Folders\Virginia\20211122%205y5y%20inflation%20vs%2010y%20yield.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nagill\Downloads\Equities%20(1).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nfawcett\Downloads\Chin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a.blkint.com\dfs\data\BII\Investment%20Strategy\Tracking%20TAA%20views\20200810_Tracking%20TAA%20P&amp;L.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C37"/>
          <cell r="D37"/>
          <cell r="E37">
            <v>105.00000000000004</v>
          </cell>
          <cell r="F37"/>
          <cell r="G37"/>
          <cell r="H37"/>
          <cell r="I37"/>
          <cell r="J37"/>
          <cell r="K37"/>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cell r="BD37"/>
          <cell r="BE37"/>
          <cell r="BF37"/>
        </row>
        <row r="38">
          <cell r="B38" t="str">
            <v>BRS26QQW4</v>
          </cell>
          <cell r="C38" t="str">
            <v>FTSE Actuaries UK Index-Linked Gilts ove</v>
          </cell>
          <cell r="D38" t="str">
            <v>FTILGLT5P</v>
          </cell>
          <cell r="E38">
            <v>2</v>
          </cell>
          <cell r="F38"/>
          <cell r="G38"/>
          <cell r="H38"/>
          <cell r="I38"/>
          <cell r="J38"/>
          <cell r="K38"/>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cell r="BD38"/>
          <cell r="BE38"/>
          <cell r="BF38"/>
        </row>
        <row r="39">
          <cell r="B39" t="str">
            <v>BRT9TAL37</v>
          </cell>
          <cell r="C39" t="str">
            <v>CMA - Core Real Estate UK hedged</v>
          </cell>
          <cell r="D39" t="str">
            <v>CMA_UKREHD</v>
          </cell>
          <cell r="E39">
            <v>1</v>
          </cell>
          <cell r="F39"/>
          <cell r="G39"/>
          <cell r="H39"/>
          <cell r="I39"/>
          <cell r="J39"/>
          <cell r="K39"/>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cell r="BD39"/>
          <cell r="BE39"/>
          <cell r="BF39"/>
        </row>
        <row r="40">
          <cell r="B40" t="str">
            <v>BRTE916L5</v>
          </cell>
          <cell r="C40" t="str">
            <v>MSCI China A Inclusion NET Index</v>
          </cell>
          <cell r="D40" t="str">
            <v>MSCNAINCLN</v>
          </cell>
          <cell r="E40">
            <v>1</v>
          </cell>
          <cell r="F40"/>
          <cell r="G40"/>
          <cell r="H40"/>
          <cell r="I40"/>
          <cell r="J40"/>
          <cell r="K40"/>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cell r="BD40"/>
          <cell r="BE40"/>
          <cell r="BF40"/>
        </row>
        <row r="41">
          <cell r="B41" t="str">
            <v>BRSJNB3E6</v>
          </cell>
          <cell r="C41" t="str">
            <v>MSCI USA Information Technology Index</v>
          </cell>
          <cell r="D41" t="str">
            <v>MSUSATEC</v>
          </cell>
          <cell r="E41">
            <v>1</v>
          </cell>
          <cell r="F41"/>
          <cell r="G41"/>
          <cell r="H41"/>
          <cell r="I41"/>
          <cell r="J41"/>
          <cell r="K41"/>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cell r="BD41"/>
          <cell r="BE41"/>
          <cell r="BF41"/>
        </row>
        <row r="42">
          <cell r="B42" t="str">
            <v>BRSJNAPD6</v>
          </cell>
          <cell r="C42" t="str">
            <v>MSCI USA Consumer Discretionary Index</v>
          </cell>
          <cell r="D42" t="str">
            <v>MSUSACDS</v>
          </cell>
          <cell r="E42">
            <v>1.0000000000000002</v>
          </cell>
          <cell r="F42"/>
          <cell r="G42"/>
          <cell r="H42"/>
          <cell r="I42"/>
          <cell r="J42"/>
          <cell r="K42"/>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cell r="BD42"/>
          <cell r="BE42"/>
          <cell r="BF42"/>
        </row>
        <row r="43">
          <cell r="B43" t="str">
            <v>BRSLC4YJ4</v>
          </cell>
          <cell r="C43" t="str">
            <v>PE - Buyout Global Fund</v>
          </cell>
          <cell r="D43"/>
          <cell r="E43">
            <v>1</v>
          </cell>
          <cell r="F43"/>
          <cell r="G43"/>
          <cell r="H43"/>
          <cell r="I43"/>
          <cell r="J43"/>
          <cell r="K43"/>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cell r="BD43"/>
          <cell r="BE43"/>
          <cell r="BF43"/>
        </row>
        <row r="44">
          <cell r="B44" t="str">
            <v>BRTDWC9U4</v>
          </cell>
          <cell r="C44" t="str">
            <v>MSCI USA/REAL ESTATE Index</v>
          </cell>
          <cell r="D44" t="str">
            <v>MSCIUSDRS</v>
          </cell>
          <cell r="E44">
            <v>1.0000000000000002</v>
          </cell>
          <cell r="F44"/>
          <cell r="G44"/>
          <cell r="H44"/>
          <cell r="I44"/>
          <cell r="J44"/>
          <cell r="K44"/>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cell r="BD44"/>
          <cell r="BE44"/>
          <cell r="BF44"/>
        </row>
        <row r="45">
          <cell r="B45" t="str">
            <v>BRS1PQBB7</v>
          </cell>
          <cell r="C45" t="str">
            <v>BBG Euro Aggregate Corporate Index</v>
          </cell>
          <cell r="D45" t="str">
            <v>LEURAGCORP</v>
          </cell>
          <cell r="E45">
            <v>2</v>
          </cell>
          <cell r="F45"/>
          <cell r="G45"/>
          <cell r="H45"/>
          <cell r="I45"/>
          <cell r="J45"/>
          <cell r="K45"/>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cell r="BD45"/>
          <cell r="BE45"/>
          <cell r="BF45"/>
        </row>
        <row r="46">
          <cell r="B46" t="str">
            <v>BRT8ZZBD6</v>
          </cell>
          <cell r="C46" t="str">
            <v>BBG U.S. Tips Index 10Yr Plus - USD GROS</v>
          </cell>
          <cell r="D46" t="str">
            <v>BBUSTIPS10</v>
          </cell>
          <cell r="E46">
            <v>1</v>
          </cell>
          <cell r="F46"/>
          <cell r="G46"/>
          <cell r="H46"/>
          <cell r="I46"/>
          <cell r="J46"/>
          <cell r="K46"/>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cell r="BD46"/>
          <cell r="BE46"/>
          <cell r="BF46"/>
        </row>
        <row r="47">
          <cell r="B47" t="str">
            <v>BRSJNB3N6</v>
          </cell>
          <cell r="C47" t="str">
            <v>MSCI USA Telecommunication Services Inde</v>
          </cell>
          <cell r="D47" t="str">
            <v>MSUSATEL</v>
          </cell>
          <cell r="E47">
            <v>1</v>
          </cell>
          <cell r="F47"/>
          <cell r="G47"/>
          <cell r="H47"/>
          <cell r="I47"/>
          <cell r="J47"/>
          <cell r="K47"/>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cell r="BD47"/>
          <cell r="BE47"/>
          <cell r="BF47"/>
        </row>
        <row r="48">
          <cell r="B48" t="str">
            <v>BRS26QUC3</v>
          </cell>
          <cell r="C48" t="str">
            <v>MSCI Developed - US Gross TR Index</v>
          </cell>
          <cell r="D48" t="str">
            <v>MS_US</v>
          </cell>
          <cell r="E48">
            <v>1</v>
          </cell>
          <cell r="F48"/>
          <cell r="G48"/>
          <cell r="H48"/>
          <cell r="I48"/>
          <cell r="J48"/>
          <cell r="K48"/>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cell r="BD48"/>
          <cell r="BE48"/>
          <cell r="BF48"/>
        </row>
        <row r="49">
          <cell r="B49" t="str">
            <v>B00229466</v>
          </cell>
          <cell r="C49" t="str">
            <v>BBG US Long Credit Index</v>
          </cell>
          <cell r="D49" t="str">
            <v>LCREDLONG</v>
          </cell>
          <cell r="E49">
            <v>1</v>
          </cell>
          <cell r="F49"/>
          <cell r="G49"/>
          <cell r="H49"/>
          <cell r="I49"/>
          <cell r="J49"/>
          <cell r="K49"/>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cell r="BD49"/>
          <cell r="BE49"/>
          <cell r="BF49"/>
        </row>
        <row r="50">
          <cell r="B50" t="str">
            <v>BRSN0NSF6</v>
          </cell>
          <cell r="C50" t="str">
            <v>FTSE EPRA Nareit Global REITs Index Gros</v>
          </cell>
          <cell r="D50" t="str">
            <v>FTENGRT</v>
          </cell>
          <cell r="E50">
            <v>1</v>
          </cell>
          <cell r="F50"/>
          <cell r="G50"/>
          <cell r="H50"/>
          <cell r="I50"/>
          <cell r="J50"/>
          <cell r="K50"/>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cell r="BD50"/>
          <cell r="BE50"/>
          <cell r="BF50"/>
        </row>
        <row r="51">
          <cell r="B51" t="str">
            <v>BRT065P53</v>
          </cell>
          <cell r="C51" t="str">
            <v>MSCI USA Industrials Index</v>
          </cell>
          <cell r="D51" t="str">
            <v>MSCIUSAIND</v>
          </cell>
          <cell r="E51">
            <v>1</v>
          </cell>
          <cell r="F51"/>
          <cell r="G51"/>
          <cell r="H51"/>
          <cell r="I51"/>
          <cell r="J51"/>
          <cell r="K51"/>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cell r="BD51"/>
          <cell r="BE51"/>
          <cell r="BF51"/>
        </row>
        <row r="52">
          <cell r="B52" t="str">
            <v>BRS2NHUY6</v>
          </cell>
          <cell r="C52" t="str">
            <v>MSCI World Small Cap</v>
          </cell>
          <cell r="D52" t="str">
            <v>MSW_SMALL</v>
          </cell>
          <cell r="E52">
            <v>1.0000000000000002</v>
          </cell>
          <cell r="F52"/>
          <cell r="G52"/>
          <cell r="H52"/>
          <cell r="I52"/>
          <cell r="J52"/>
          <cell r="K52"/>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cell r="BD52"/>
          <cell r="BE52"/>
          <cell r="BF52"/>
        </row>
        <row r="53">
          <cell r="B53" t="str">
            <v>BRSJNB2T4</v>
          </cell>
          <cell r="C53" t="str">
            <v>MSCI USA Health Care Index</v>
          </cell>
          <cell r="D53" t="str">
            <v>MSUSAHLT</v>
          </cell>
          <cell r="E53">
            <v>1</v>
          </cell>
          <cell r="F53"/>
          <cell r="G53"/>
          <cell r="H53"/>
          <cell r="I53"/>
          <cell r="J53"/>
          <cell r="K53"/>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cell r="BD53"/>
          <cell r="BE53"/>
          <cell r="BF53"/>
        </row>
        <row r="54">
          <cell r="B54" t="str">
            <v>B00229474</v>
          </cell>
          <cell r="C54" t="str">
            <v>BBG US Long Treasury Index</v>
          </cell>
          <cell r="D54" t="str">
            <v>LEH_10P</v>
          </cell>
          <cell r="E54">
            <v>1</v>
          </cell>
          <cell r="F54"/>
          <cell r="G54"/>
          <cell r="H54"/>
          <cell r="I54"/>
          <cell r="J54"/>
          <cell r="K54"/>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cell r="BD54"/>
          <cell r="BE54"/>
          <cell r="BF54"/>
        </row>
        <row r="55">
          <cell r="B55" t="str">
            <v>BRTD2AEC5</v>
          </cell>
          <cell r="C55" t="str">
            <v>MSCI Emerging - China  in CNY</v>
          </cell>
          <cell r="D55" t="str">
            <v>MS_CN_CNY</v>
          </cell>
          <cell r="E55">
            <v>0.99999999999999989</v>
          </cell>
          <cell r="F55"/>
          <cell r="G55"/>
          <cell r="H55"/>
          <cell r="I55"/>
          <cell r="J55"/>
          <cell r="K55"/>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cell r="BD55"/>
          <cell r="BE55"/>
          <cell r="BF55"/>
        </row>
        <row r="56">
          <cell r="B56" t="str">
            <v>BRTN07HB1</v>
          </cell>
          <cell r="C56" t="str">
            <v>CMA - Direct lending proxy</v>
          </cell>
          <cell r="D56" t="str">
            <v>CMA_DIRLEN</v>
          </cell>
          <cell r="E56">
            <v>1</v>
          </cell>
          <cell r="F56"/>
          <cell r="G56"/>
          <cell r="H56"/>
          <cell r="I56"/>
          <cell r="J56"/>
          <cell r="K56"/>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cell r="BD56"/>
          <cell r="BE56"/>
          <cell r="BF56"/>
        </row>
        <row r="57">
          <cell r="B57" t="str">
            <v>BRSJNAKR0</v>
          </cell>
          <cell r="C57" t="str">
            <v>MSCI USA Energy Index</v>
          </cell>
          <cell r="D57" t="str">
            <v>MSUSAENG</v>
          </cell>
          <cell r="E57">
            <v>1</v>
          </cell>
          <cell r="F57"/>
          <cell r="G57"/>
          <cell r="H57"/>
          <cell r="I57"/>
          <cell r="J57"/>
          <cell r="K57"/>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cell r="BD57"/>
          <cell r="BE57"/>
          <cell r="BF57"/>
        </row>
        <row r="58">
          <cell r="B58" t="str">
            <v>BRSJNB3M8</v>
          </cell>
          <cell r="C58" t="str">
            <v>MSCI USA Materials Index -USD TR</v>
          </cell>
          <cell r="D58" t="str">
            <v>MSUSAMAT</v>
          </cell>
          <cell r="E58">
            <v>1</v>
          </cell>
          <cell r="F58"/>
          <cell r="G58"/>
          <cell r="H58"/>
          <cell r="I58"/>
          <cell r="J58"/>
          <cell r="K58"/>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cell r="BD58"/>
          <cell r="BE58"/>
          <cell r="BF58"/>
        </row>
        <row r="59">
          <cell r="B59" t="str">
            <v>BRSJNB2E7</v>
          </cell>
          <cell r="C59" t="str">
            <v>MSCI USA Financials Index</v>
          </cell>
          <cell r="D59" t="str">
            <v>MSUSAFIS</v>
          </cell>
          <cell r="E59">
            <v>1.0000000000000002</v>
          </cell>
          <cell r="F59"/>
          <cell r="G59"/>
          <cell r="H59"/>
          <cell r="I59"/>
          <cell r="J59"/>
          <cell r="K59"/>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cell r="BD59"/>
          <cell r="BE59"/>
          <cell r="BF59"/>
        </row>
        <row r="60">
          <cell r="B60" t="str">
            <v>BRSJNB462</v>
          </cell>
          <cell r="C60" t="str">
            <v>MSCI USA Utilities Index</v>
          </cell>
          <cell r="D60" t="str">
            <v>MSUSAUTI</v>
          </cell>
          <cell r="E60">
            <v>1</v>
          </cell>
          <cell r="F60"/>
          <cell r="G60"/>
          <cell r="H60"/>
          <cell r="I60"/>
          <cell r="J60"/>
          <cell r="K60"/>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cell r="BD60"/>
          <cell r="BE60"/>
          <cell r="BF60"/>
        </row>
        <row r="61">
          <cell r="B61" t="str">
            <v>BRSJNB280</v>
          </cell>
          <cell r="C61" t="str">
            <v>MSCI USA Consumer Staples Index</v>
          </cell>
          <cell r="D61" t="str">
            <v>MSUSACST</v>
          </cell>
          <cell r="E61">
            <v>1</v>
          </cell>
          <cell r="F61"/>
          <cell r="G61"/>
          <cell r="H61"/>
          <cell r="I61"/>
          <cell r="J61"/>
          <cell r="K61"/>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cell r="BD61"/>
          <cell r="BE61"/>
          <cell r="BF61"/>
        </row>
        <row r="62">
          <cell r="B62" t="str">
            <v>BRSKXU3M2</v>
          </cell>
          <cell r="C62" t="str">
            <v>FTSE Developed Core Infrastructure Net I</v>
          </cell>
          <cell r="D62" t="str">
            <v>FTDEVCRINF</v>
          </cell>
          <cell r="E62">
            <v>1</v>
          </cell>
          <cell r="F62"/>
          <cell r="G62"/>
          <cell r="H62"/>
          <cell r="I62"/>
          <cell r="J62"/>
          <cell r="K62"/>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cell r="BD62"/>
          <cell r="BE62"/>
          <cell r="BF62"/>
        </row>
        <row r="63">
          <cell r="B63" t="str">
            <v>B00211043</v>
          </cell>
          <cell r="C63" t="str">
            <v>Bloomberg U.S. Credit Index</v>
          </cell>
          <cell r="D63" t="str">
            <v>LEH_CREDIT</v>
          </cell>
          <cell r="E63">
            <v>1.0000000000000002</v>
          </cell>
          <cell r="F63"/>
          <cell r="G63"/>
          <cell r="H63"/>
          <cell r="I63"/>
          <cell r="J63"/>
          <cell r="K63"/>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cell r="BD63"/>
          <cell r="BE63"/>
          <cell r="BF63"/>
        </row>
        <row r="64">
          <cell r="B64" t="str">
            <v>BRS2NHV82</v>
          </cell>
          <cell r="C64" t="str">
            <v xml:space="preserve">MSCI Developed - Japan Gross TR Index - </v>
          </cell>
          <cell r="D64" t="str">
            <v>MS_JP</v>
          </cell>
          <cell r="E64">
            <v>1.0000000000000002</v>
          </cell>
          <cell r="F64"/>
          <cell r="G64"/>
          <cell r="H64"/>
          <cell r="I64"/>
          <cell r="J64"/>
          <cell r="K64"/>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cell r="BD64"/>
          <cell r="BE64"/>
          <cell r="BF64"/>
        </row>
        <row r="65">
          <cell r="B65" t="str">
            <v>BRS8R3LP9</v>
          </cell>
          <cell r="C65" t="str">
            <v>S&amp;P India LargeCap Index</v>
          </cell>
          <cell r="D65" t="str">
            <v>SPBMIINL</v>
          </cell>
          <cell r="E65">
            <v>0.99999999999999989</v>
          </cell>
          <cell r="F65"/>
          <cell r="G65"/>
          <cell r="H65"/>
          <cell r="I65"/>
          <cell r="J65"/>
          <cell r="K65"/>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cell r="BD65"/>
          <cell r="BE65"/>
          <cell r="BF65"/>
        </row>
        <row r="66">
          <cell r="B66" t="str">
            <v>BRS029DE4</v>
          </cell>
          <cell r="C66" t="str">
            <v>BBG TIPS 5-10 Year Index</v>
          </cell>
          <cell r="D66" t="str">
            <v>LTIPS5-10</v>
          </cell>
          <cell r="E66">
            <v>1</v>
          </cell>
          <cell r="F66"/>
          <cell r="G66"/>
          <cell r="H66"/>
          <cell r="I66"/>
          <cell r="J66"/>
          <cell r="K66"/>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cell r="BD66"/>
          <cell r="BE66"/>
          <cell r="BF66"/>
        </row>
        <row r="67">
          <cell r="B67" t="str">
            <v>BRS18RDA4</v>
          </cell>
          <cell r="C67" t="str">
            <v>Bloomberg U.S. Corporate High Yield 2% I</v>
          </cell>
          <cell r="D67" t="str">
            <v>LHY2ICAP</v>
          </cell>
          <cell r="E67">
            <v>1.0000000000000002</v>
          </cell>
          <cell r="F67"/>
          <cell r="G67"/>
          <cell r="H67"/>
          <cell r="I67"/>
          <cell r="J67"/>
          <cell r="K67"/>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cell r="BD67"/>
          <cell r="BE67"/>
          <cell r="BF67"/>
        </row>
        <row r="68">
          <cell r="B68" t="str">
            <v>BRS1RYD42</v>
          </cell>
          <cell r="C68" t="str">
            <v xml:space="preserve">BBG US Government Inflation-Linked Bond </v>
          </cell>
          <cell r="D68" t="str">
            <v>BCLYUSDIL</v>
          </cell>
          <cell r="E68">
            <v>1</v>
          </cell>
          <cell r="F68"/>
          <cell r="G68"/>
          <cell r="H68"/>
          <cell r="I68"/>
          <cell r="J68"/>
          <cell r="K68"/>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cell r="BD68"/>
          <cell r="BE68"/>
          <cell r="BF68"/>
        </row>
        <row r="69">
          <cell r="B69" t="str">
            <v>B06040008</v>
          </cell>
          <cell r="C69" t="str">
            <v>JP Morgan EMBI Global Diversified Index</v>
          </cell>
          <cell r="D69" t="str">
            <v>EMBIGLDIV</v>
          </cell>
          <cell r="E69">
            <v>1</v>
          </cell>
          <cell r="F69"/>
          <cell r="G69"/>
          <cell r="H69"/>
          <cell r="I69"/>
          <cell r="J69"/>
          <cell r="K69"/>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cell r="BD69"/>
          <cell r="BE69"/>
          <cell r="BF69"/>
        </row>
        <row r="70">
          <cell r="B70" t="str">
            <v>BRS2NHTA0</v>
          </cell>
          <cell r="C70" t="str">
            <v>MSCI Emerging Markets Index</v>
          </cell>
          <cell r="D70" t="str">
            <v>MS_EM</v>
          </cell>
          <cell r="E70">
            <v>1.0000000000000002</v>
          </cell>
          <cell r="F70"/>
          <cell r="G70"/>
          <cell r="H70"/>
          <cell r="I70"/>
          <cell r="J70"/>
          <cell r="K70"/>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cell r="BD70"/>
          <cell r="BE70"/>
          <cell r="BF70"/>
        </row>
        <row r="71">
          <cell r="B71" t="str">
            <v>B00101939</v>
          </cell>
          <cell r="C71" t="str">
            <v>BBG MBS Index</v>
          </cell>
          <cell r="D71" t="str">
            <v>LEH_MBS</v>
          </cell>
          <cell r="E71">
            <v>1</v>
          </cell>
          <cell r="F71"/>
          <cell r="G71"/>
          <cell r="H71"/>
          <cell r="I71"/>
          <cell r="J71"/>
          <cell r="K71"/>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cell r="BD71"/>
          <cell r="BE71"/>
          <cell r="BF71"/>
        </row>
        <row r="72">
          <cell r="B72" t="str">
            <v>BRSBCB0K4</v>
          </cell>
          <cell r="C72" t="str">
            <v xml:space="preserve">BBG US Government Inflation-Linked Bond </v>
          </cell>
          <cell r="D72" t="str">
            <v>BCLYUS10YR</v>
          </cell>
          <cell r="E72">
            <v>1</v>
          </cell>
          <cell r="F72"/>
          <cell r="G72"/>
          <cell r="H72"/>
          <cell r="I72"/>
          <cell r="J72"/>
          <cell r="K72"/>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cell r="BD72"/>
          <cell r="BE72"/>
          <cell r="BF72"/>
        </row>
        <row r="73">
          <cell r="B73" t="str">
            <v>BRWFAGPW8</v>
          </cell>
          <cell r="C73" t="str">
            <v>MSCI EMU/INFORMATION TECH Index</v>
          </cell>
          <cell r="D73" t="str">
            <v>MS_EMU45</v>
          </cell>
          <cell r="E73">
            <v>1</v>
          </cell>
          <cell r="F73"/>
          <cell r="G73"/>
          <cell r="H73"/>
          <cell r="I73"/>
          <cell r="J73"/>
          <cell r="K73"/>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cell r="BD73"/>
          <cell r="BE73"/>
          <cell r="BF73"/>
        </row>
        <row r="74">
          <cell r="B74" t="str">
            <v>B00216299</v>
          </cell>
          <cell r="C74" t="str">
            <v>BBG Intermediate Credit Index</v>
          </cell>
          <cell r="D74" t="str">
            <v>LCREDINT</v>
          </cell>
          <cell r="E74">
            <v>1</v>
          </cell>
          <cell r="F74"/>
          <cell r="G74"/>
          <cell r="H74"/>
          <cell r="I74"/>
          <cell r="J74"/>
          <cell r="K74"/>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cell r="BD74"/>
          <cell r="BE74"/>
          <cell r="BF74"/>
        </row>
        <row r="75">
          <cell r="B75" t="str">
            <v>BRSB6JBN6</v>
          </cell>
          <cell r="C75" t="str">
            <v>BBG Sterling Aggregate: Gilts 10+ Year I</v>
          </cell>
          <cell r="D75" t="str">
            <v>LSTRG10PLS</v>
          </cell>
          <cell r="E75">
            <v>1</v>
          </cell>
          <cell r="F75"/>
          <cell r="G75"/>
          <cell r="H75"/>
          <cell r="I75"/>
          <cell r="J75"/>
          <cell r="K75"/>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cell r="BD75"/>
          <cell r="BE75"/>
          <cell r="BF75"/>
        </row>
        <row r="76">
          <cell r="B76" t="str">
            <v>BRSC6F285</v>
          </cell>
          <cell r="C76" t="str">
            <v>FTSE All Stocks Gilts Over 10 Years Inde</v>
          </cell>
          <cell r="D76" t="str">
            <v>FTSASGO10</v>
          </cell>
          <cell r="E76">
            <v>1</v>
          </cell>
          <cell r="F76"/>
          <cell r="G76"/>
          <cell r="H76"/>
          <cell r="I76"/>
          <cell r="J76"/>
          <cell r="K76"/>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cell r="BD76"/>
          <cell r="BE76"/>
          <cell r="BF76"/>
        </row>
        <row r="77">
          <cell r="B77" t="str">
            <v>B02404059</v>
          </cell>
          <cell r="C77" t="str">
            <v>BBG Treasury 5-10 Yr Index</v>
          </cell>
          <cell r="D77" t="str">
            <v>LTSY5-10</v>
          </cell>
          <cell r="E77">
            <v>1</v>
          </cell>
          <cell r="F77"/>
          <cell r="G77"/>
          <cell r="H77"/>
          <cell r="I77"/>
          <cell r="J77"/>
          <cell r="K77"/>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cell r="BD77"/>
          <cell r="BE77"/>
          <cell r="BF77"/>
        </row>
        <row r="78">
          <cell r="B78" t="str">
            <v>BRSJ0K9W5</v>
          </cell>
          <cell r="C78" t="str">
            <v>ICE BofA ABS Fixed &amp; Floating Rate / CMB</v>
          </cell>
          <cell r="D78" t="str">
            <v>MLABSCMBS</v>
          </cell>
          <cell r="E78">
            <v>1</v>
          </cell>
          <cell r="F78"/>
          <cell r="G78"/>
          <cell r="H78"/>
          <cell r="I78"/>
          <cell r="J78"/>
          <cell r="K78"/>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cell r="BD78"/>
          <cell r="BE78"/>
          <cell r="BF78"/>
        </row>
        <row r="79">
          <cell r="B79" t="str">
            <v>B01520020</v>
          </cell>
          <cell r="C79" t="str">
            <v>BBG Government Index</v>
          </cell>
          <cell r="D79" t="str">
            <v>GOVERNMENT</v>
          </cell>
          <cell r="E79">
            <v>1</v>
          </cell>
          <cell r="F79"/>
          <cell r="G79"/>
          <cell r="H79"/>
          <cell r="I79"/>
          <cell r="J79"/>
          <cell r="K79"/>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cell r="BD79"/>
          <cell r="BE79"/>
          <cell r="BF79"/>
        </row>
        <row r="80">
          <cell r="B80" t="str">
            <v>BRT1D5PP9</v>
          </cell>
          <cell r="C80" t="str">
            <v>INF - Diversified Global</v>
          </cell>
          <cell r="D80"/>
          <cell r="E80">
            <v>1</v>
          </cell>
          <cell r="F80"/>
          <cell r="G80"/>
          <cell r="H80"/>
          <cell r="I80"/>
          <cell r="J80"/>
          <cell r="K80"/>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cell r="BD80"/>
          <cell r="BE80"/>
          <cell r="BF80"/>
        </row>
        <row r="81">
          <cell r="B81" t="str">
            <v>BRTG30Z93</v>
          </cell>
          <cell r="C81" t="str">
            <v>BBG US Govt Inflation-Linked 1-5Yrs</v>
          </cell>
          <cell r="D81" t="str">
            <v>BUKIL1-5</v>
          </cell>
          <cell r="E81">
            <v>1.0000000000000002</v>
          </cell>
          <cell r="F81"/>
          <cell r="G81"/>
          <cell r="H81"/>
          <cell r="I81"/>
          <cell r="J81"/>
          <cell r="K81"/>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cell r="BD81"/>
          <cell r="BE81"/>
          <cell r="BF81"/>
        </row>
        <row r="82">
          <cell r="B82" t="str">
            <v>BRT9QGML6</v>
          </cell>
          <cell r="C82" t="str">
            <v>MSCI Emerging Markets ex China (Net)</v>
          </cell>
          <cell r="D82" t="str">
            <v>MS_EMXCNN</v>
          </cell>
          <cell r="E82">
            <v>1</v>
          </cell>
          <cell r="F82"/>
          <cell r="G82"/>
          <cell r="H82"/>
          <cell r="I82"/>
          <cell r="J82"/>
          <cell r="K82"/>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cell r="BD82"/>
          <cell r="BE82"/>
          <cell r="BF82"/>
        </row>
        <row r="83">
          <cell r="B83" t="str">
            <v>BRTAQ5VH6</v>
          </cell>
          <cell r="C83" t="str">
            <v>CMA - Real estate mezzanine debt unhedge</v>
          </cell>
          <cell r="D83" t="str">
            <v>CMA_WMEZUH</v>
          </cell>
          <cell r="E83">
            <v>1</v>
          </cell>
          <cell r="F83"/>
          <cell r="G83"/>
          <cell r="H83"/>
          <cell r="I83"/>
          <cell r="J83"/>
          <cell r="K83"/>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cell r="BD83"/>
          <cell r="BE83"/>
          <cell r="BF83"/>
        </row>
        <row r="84">
          <cell r="B84" t="str">
            <v>BRSLC50S8</v>
          </cell>
          <cell r="C84" t="str">
            <v>RE - Core Global</v>
          </cell>
          <cell r="D84"/>
          <cell r="E84">
            <v>1</v>
          </cell>
          <cell r="F84"/>
          <cell r="G84"/>
          <cell r="H84"/>
          <cell r="I84"/>
          <cell r="J84"/>
          <cell r="K84"/>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cell r="BD84"/>
          <cell r="BE84"/>
          <cell r="BF84"/>
        </row>
        <row r="85">
          <cell r="B85" t="str">
            <v>BRS2NHL83</v>
          </cell>
          <cell r="C85" t="str">
            <v>MSCI Developed - Canada</v>
          </cell>
          <cell r="D85" t="str">
            <v>MS_CA</v>
          </cell>
          <cell r="E85">
            <v>1</v>
          </cell>
          <cell r="F85"/>
          <cell r="G85"/>
          <cell r="H85"/>
          <cell r="I85"/>
          <cell r="J85"/>
          <cell r="K85"/>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cell r="BD85"/>
          <cell r="BE85"/>
          <cell r="BF85"/>
        </row>
        <row r="86">
          <cell r="B86" t="str">
            <v>BRWUM3099</v>
          </cell>
          <cell r="C86" t="str">
            <v>CMA - Infra Debt Unhedged</v>
          </cell>
          <cell r="D86" t="str">
            <v>CMA_GIDUHD</v>
          </cell>
          <cell r="E86">
            <v>1</v>
          </cell>
          <cell r="F86"/>
          <cell r="G86"/>
          <cell r="H86"/>
          <cell r="I86"/>
          <cell r="J86"/>
          <cell r="K86"/>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cell r="BD86"/>
          <cell r="BE86"/>
          <cell r="BF86"/>
        </row>
        <row r="87">
          <cell r="B87" t="str">
            <v>BRSM5U6L8</v>
          </cell>
          <cell r="C87" t="str">
            <v>ICE BofA Global Government Bonds G7 1-10</v>
          </cell>
          <cell r="D87" t="str">
            <v>MLW5G7USH</v>
          </cell>
          <cell r="E87">
            <v>1</v>
          </cell>
          <cell r="F87"/>
          <cell r="G87"/>
          <cell r="H87"/>
          <cell r="I87"/>
          <cell r="J87"/>
          <cell r="K87"/>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cell r="BD87"/>
          <cell r="BE87"/>
          <cell r="BF87"/>
        </row>
        <row r="88">
          <cell r="B88" t="str">
            <v>BRS1LX887</v>
          </cell>
          <cell r="C88" t="str">
            <v>BBG Global High Yield Index</v>
          </cell>
          <cell r="D88" t="str">
            <v>LEHGLBHY</v>
          </cell>
          <cell r="E88">
            <v>1</v>
          </cell>
          <cell r="F88"/>
          <cell r="G88"/>
          <cell r="H88"/>
          <cell r="I88"/>
          <cell r="J88"/>
          <cell r="K88"/>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cell r="BD88"/>
          <cell r="BE88"/>
          <cell r="BF88"/>
        </row>
        <row r="89">
          <cell r="B89" t="str">
            <v>BRS14KDH8</v>
          </cell>
          <cell r="C89" t="str">
            <v>BBG Treasury 1-10 Yr Index</v>
          </cell>
          <cell r="D89" t="str">
            <v>LTSY1-10</v>
          </cell>
          <cell r="E89">
            <v>1</v>
          </cell>
          <cell r="F89"/>
          <cell r="G89"/>
          <cell r="H89"/>
          <cell r="I89"/>
          <cell r="J89"/>
          <cell r="K89"/>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cell r="BD89"/>
          <cell r="BE89"/>
          <cell r="BF89"/>
        </row>
        <row r="90">
          <cell r="B90" t="str">
            <v>BRSM5Y7T2</v>
          </cell>
          <cell r="C90" t="str">
            <v>BBG Sterling Corporates 10-20 Years Inde</v>
          </cell>
          <cell r="D90" t="str">
            <v>B28355EUR</v>
          </cell>
          <cell r="E90">
            <v>1</v>
          </cell>
          <cell r="F90"/>
          <cell r="G90"/>
          <cell r="H90"/>
          <cell r="I90"/>
          <cell r="J90"/>
          <cell r="K90"/>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cell r="BD90"/>
          <cell r="BE90"/>
          <cell r="BF90"/>
        </row>
        <row r="91">
          <cell r="B91" t="str">
            <v>BRYPSXJD7</v>
          </cell>
          <cell r="C91" t="str">
            <v>MSCI EM (Emerging Markets) ex China ex I</v>
          </cell>
          <cell r="D91" t="str">
            <v>M738173USD</v>
          </cell>
          <cell r="E91">
            <v>1</v>
          </cell>
          <cell r="F91"/>
          <cell r="G91"/>
          <cell r="H91"/>
          <cell r="I91"/>
          <cell r="J91"/>
          <cell r="K91"/>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cell r="BD91"/>
          <cell r="BE91"/>
          <cell r="BF91"/>
        </row>
        <row r="92">
          <cell r="B92" t="str">
            <v>BRTDPC6C5</v>
          </cell>
          <cell r="C92" t="str">
            <v>BBG China Treasury + Policy Bank Total R</v>
          </cell>
          <cell r="D92" t="str">
            <v>BBGTPBTR</v>
          </cell>
          <cell r="E92">
            <v>1</v>
          </cell>
          <cell r="F92"/>
          <cell r="G92"/>
          <cell r="H92"/>
          <cell r="I92"/>
          <cell r="J92"/>
          <cell r="K92"/>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cell r="BD92"/>
          <cell r="BE92"/>
          <cell r="BF92"/>
        </row>
        <row r="93">
          <cell r="B93" t="str">
            <v>BRSALQX68</v>
          </cell>
          <cell r="C93" t="str">
            <v>USD Cash Benchmark</v>
          </cell>
          <cell r="D93" t="str">
            <v>USDCASHBMK</v>
          </cell>
          <cell r="E93">
            <v>1</v>
          </cell>
          <cell r="F93"/>
          <cell r="G93"/>
          <cell r="H93"/>
          <cell r="I93"/>
          <cell r="J93"/>
          <cell r="K93"/>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cell r="BD93"/>
          <cell r="BE93"/>
          <cell r="BF93"/>
        </row>
        <row r="94">
          <cell r="B94" t="str">
            <v>B00766442</v>
          </cell>
          <cell r="C94" t="str">
            <v>BBG Treasury 1-5 Yr Index</v>
          </cell>
          <cell r="D94" t="str">
            <v>LTSY1-5</v>
          </cell>
          <cell r="E94">
            <v>1.0000000000000002</v>
          </cell>
          <cell r="F94"/>
          <cell r="G94"/>
          <cell r="H94"/>
          <cell r="I94"/>
          <cell r="J94"/>
          <cell r="K94"/>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cell r="BD94"/>
          <cell r="BE94"/>
          <cell r="BF94"/>
        </row>
        <row r="95">
          <cell r="B95" t="str">
            <v>BRSDAJPS1</v>
          </cell>
          <cell r="C95" t="str">
            <v>CNY Cash Benchmark</v>
          </cell>
          <cell r="D95" t="str">
            <v>CNYCASHBMK</v>
          </cell>
          <cell r="E95">
            <v>1.0000000000000002</v>
          </cell>
          <cell r="F95"/>
          <cell r="G95"/>
          <cell r="H95"/>
          <cell r="I95"/>
          <cell r="J95"/>
          <cell r="K95"/>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cell r="BD95"/>
          <cell r="BE95"/>
          <cell r="BF95"/>
        </row>
        <row r="96">
          <cell r="B96" t="str">
            <v>BRS2NHT69</v>
          </cell>
          <cell r="C96" t="str">
            <v>MSCI Developed - United Kingdom</v>
          </cell>
          <cell r="D96" t="str">
            <v>MS_GB</v>
          </cell>
          <cell r="E96">
            <v>1</v>
          </cell>
          <cell r="F96"/>
          <cell r="G96"/>
          <cell r="H96"/>
          <cell r="I96"/>
          <cell r="J96"/>
          <cell r="K96"/>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cell r="BD96"/>
          <cell r="BE96"/>
          <cell r="BF96"/>
        </row>
        <row r="97">
          <cell r="B97" t="str">
            <v>BRS26QNA5</v>
          </cell>
          <cell r="C97" t="str">
            <v>FTSE Actuaries UK Conventional Gilts All</v>
          </cell>
          <cell r="D97" t="str">
            <v>FTSEASGILT</v>
          </cell>
          <cell r="E97">
            <v>1</v>
          </cell>
          <cell r="F97"/>
          <cell r="G97"/>
          <cell r="H97"/>
          <cell r="I97"/>
          <cell r="J97"/>
          <cell r="K97"/>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cell r="BD97"/>
          <cell r="BE97"/>
          <cell r="BF97"/>
        </row>
        <row r="98">
          <cell r="B98" t="str">
            <v>BRS98Q5C4</v>
          </cell>
          <cell r="C98" t="str">
            <v>BBG Asian Pacific Japan Treasury</v>
          </cell>
          <cell r="D98" t="str">
            <v>BCAPJYJGB</v>
          </cell>
          <cell r="E98">
            <v>1.0000000000000002</v>
          </cell>
          <cell r="F98"/>
          <cell r="G98"/>
          <cell r="H98"/>
          <cell r="I98"/>
          <cell r="J98"/>
          <cell r="K98"/>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cell r="BD98"/>
          <cell r="BE98"/>
          <cell r="BF98"/>
        </row>
        <row r="99">
          <cell r="B99" t="str">
            <v>BRSD8ELA8</v>
          </cell>
          <cell r="C99" t="str">
            <v>BBG Japanese Credit Index</v>
          </cell>
          <cell r="D99" t="str">
            <v>LEHCREDJP</v>
          </cell>
          <cell r="E99">
            <v>0.99999999999999989</v>
          </cell>
          <cell r="F99"/>
          <cell r="G99"/>
          <cell r="H99"/>
          <cell r="I99"/>
          <cell r="J99"/>
          <cell r="K99"/>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cell r="BD99"/>
          <cell r="BE99"/>
          <cell r="BF99"/>
        </row>
        <row r="100">
          <cell r="B100" t="str">
            <v>BRSC6F368</v>
          </cell>
          <cell r="C100" t="str">
            <v>FTSE All Stocks Gilts between 5-10 Years</v>
          </cell>
          <cell r="D100" t="str">
            <v>FTASG5T10</v>
          </cell>
          <cell r="E100">
            <v>0.99999999999999989</v>
          </cell>
          <cell r="F100"/>
          <cell r="G100"/>
          <cell r="H100"/>
          <cell r="I100"/>
          <cell r="J100"/>
          <cell r="K100"/>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cell r="BE100"/>
          <cell r="BF100"/>
        </row>
        <row r="101">
          <cell r="B101" t="str">
            <v>BRS7ZVX51</v>
          </cell>
          <cell r="C101" t="str">
            <v>BBG Sterling Aggregate Corporate Bond In</v>
          </cell>
          <cell r="D101" t="str">
            <v>BSTERCORP</v>
          </cell>
          <cell r="E101">
            <v>1</v>
          </cell>
          <cell r="F101"/>
          <cell r="G101"/>
          <cell r="H101"/>
          <cell r="I101"/>
          <cell r="J101"/>
          <cell r="K101"/>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cell r="BE101"/>
          <cell r="BF101"/>
        </row>
        <row r="102">
          <cell r="B102" t="str">
            <v>BRSC6UDF4</v>
          </cell>
          <cell r="C102" t="str">
            <v>MSCI Daily TR Gross Developed Pacific Ex</v>
          </cell>
          <cell r="D102" t="str">
            <v>MSPAXJPNET</v>
          </cell>
          <cell r="E102">
            <v>1</v>
          </cell>
          <cell r="F102"/>
          <cell r="G102"/>
          <cell r="H102"/>
          <cell r="I102"/>
          <cell r="J102"/>
          <cell r="K102"/>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cell r="BD102"/>
          <cell r="BE102"/>
          <cell r="BF102"/>
        </row>
        <row r="103">
          <cell r="B103" t="str">
            <v>BRSAMRUN1</v>
          </cell>
          <cell r="C103" t="str">
            <v>JPY Cash Benchmark</v>
          </cell>
          <cell r="D103" t="str">
            <v>JPYCASHBMK</v>
          </cell>
          <cell r="E103">
            <v>1</v>
          </cell>
          <cell r="F103"/>
          <cell r="G103"/>
          <cell r="H103"/>
          <cell r="I103"/>
          <cell r="J103"/>
          <cell r="K103"/>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cell r="BE103"/>
          <cell r="BF103"/>
        </row>
        <row r="104">
          <cell r="B104" t="str">
            <v>BRSCS1TV2</v>
          </cell>
          <cell r="C104" t="str">
            <v>CAD Cash Benchmark</v>
          </cell>
          <cell r="D104" t="str">
            <v>CADCASHBMK</v>
          </cell>
          <cell r="E104">
            <v>1</v>
          </cell>
          <cell r="F104"/>
          <cell r="G104"/>
          <cell r="H104"/>
          <cell r="I104"/>
          <cell r="J104"/>
          <cell r="K104"/>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cell r="BE104"/>
          <cell r="BF104"/>
        </row>
        <row r="105">
          <cell r="B105" t="str">
            <v>BRWFALUZ4</v>
          </cell>
          <cell r="C105" t="str">
            <v>MSCI EMU/INDUSTRIALS</v>
          </cell>
          <cell r="D105" t="str">
            <v>MS106696</v>
          </cell>
          <cell r="E105">
            <v>1</v>
          </cell>
          <cell r="F105"/>
          <cell r="G105"/>
          <cell r="H105"/>
          <cell r="I105"/>
          <cell r="J105"/>
          <cell r="K105"/>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cell r="BD105"/>
          <cell r="BE105"/>
          <cell r="BF105"/>
        </row>
        <row r="106">
          <cell r="B106" t="str">
            <v>BRSM5U4X4</v>
          </cell>
          <cell r="C106" t="str">
            <v>BBG Sterling Aggregate Corp 1-10 years I</v>
          </cell>
          <cell r="D106" t="str">
            <v>B17389EUR</v>
          </cell>
          <cell r="E106">
            <v>1</v>
          </cell>
          <cell r="F106"/>
          <cell r="G106"/>
          <cell r="H106"/>
          <cell r="I106"/>
          <cell r="J106"/>
          <cell r="K106"/>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cell r="BD106"/>
          <cell r="BE106"/>
          <cell r="BF106"/>
        </row>
        <row r="107">
          <cell r="B107" t="str">
            <v>BRT7CJEE4</v>
          </cell>
          <cell r="C107" t="str">
            <v>BBG Sterling Aggregate Gilts (1-10)</v>
          </cell>
          <cell r="D107" t="str">
            <v>B31677GBP</v>
          </cell>
          <cell r="E107">
            <v>1</v>
          </cell>
          <cell r="F107"/>
          <cell r="G107"/>
          <cell r="H107"/>
          <cell r="I107"/>
          <cell r="J107"/>
          <cell r="K107"/>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cell r="BE107"/>
          <cell r="BF107"/>
        </row>
        <row r="108">
          <cell r="B108" t="str">
            <v>BRWFALY31</v>
          </cell>
          <cell r="C108" t="str">
            <v>MSCI EMU/CONSUMER DISCR</v>
          </cell>
          <cell r="D108" t="str">
            <v>MS106697</v>
          </cell>
          <cell r="E108">
            <v>1</v>
          </cell>
          <cell r="F108"/>
          <cell r="G108"/>
          <cell r="H108"/>
          <cell r="I108"/>
          <cell r="J108"/>
          <cell r="K108"/>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cell r="BE108"/>
          <cell r="BF108"/>
        </row>
        <row r="109">
          <cell r="B109" t="str">
            <v>BRS2HF2E2</v>
          </cell>
          <cell r="C109" t="str">
            <v xml:space="preserve">FTSE Actuaries UK Index-Linked Gilts up </v>
          </cell>
          <cell r="D109" t="str">
            <v>FTILGLTL5</v>
          </cell>
          <cell r="E109">
            <v>1.0000000000000002</v>
          </cell>
          <cell r="F109"/>
          <cell r="G109"/>
          <cell r="H109"/>
          <cell r="I109"/>
          <cell r="J109"/>
          <cell r="K109"/>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cell r="BE109"/>
          <cell r="BF109"/>
        </row>
        <row r="110">
          <cell r="B110" t="str">
            <v>B06384109</v>
          </cell>
          <cell r="C110" t="str">
            <v>MSCI Europe Gross TR Index</v>
          </cell>
          <cell r="D110" t="str">
            <v>MS_EU</v>
          </cell>
          <cell r="E110">
            <v>1</v>
          </cell>
          <cell r="F110"/>
          <cell r="G110"/>
          <cell r="H110"/>
          <cell r="I110"/>
          <cell r="J110"/>
          <cell r="K110"/>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cell r="BD110"/>
          <cell r="BE110"/>
          <cell r="BF110"/>
        </row>
        <row r="111">
          <cell r="B111" t="str">
            <v>B06384117</v>
          </cell>
          <cell r="C111" t="str">
            <v>MSCI Developed Europe ex UK Gross TR Ind</v>
          </cell>
          <cell r="D111" t="str">
            <v>MS_EUXUK</v>
          </cell>
          <cell r="E111">
            <v>0.99999999999999989</v>
          </cell>
          <cell r="F111"/>
          <cell r="G111"/>
          <cell r="H111"/>
          <cell r="I111"/>
          <cell r="J111"/>
          <cell r="K111"/>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cell r="BD111"/>
          <cell r="BE111"/>
          <cell r="BF111"/>
        </row>
        <row r="112">
          <cell r="B112" t="str">
            <v>BRS6WE6V7</v>
          </cell>
          <cell r="C112" t="str">
            <v>BBG Euro Agg Treasury 15 plus</v>
          </cell>
          <cell r="D112" t="str">
            <v>LEURTY15P</v>
          </cell>
          <cell r="E112">
            <v>1</v>
          </cell>
          <cell r="F112"/>
          <cell r="G112"/>
          <cell r="H112"/>
          <cell r="I112"/>
          <cell r="J112"/>
          <cell r="K112"/>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cell r="BE112"/>
          <cell r="BF112"/>
        </row>
        <row r="113">
          <cell r="B113" t="str">
            <v>BRS8KCA78</v>
          </cell>
          <cell r="C113" t="str">
            <v>BBG Euro-Agg Corp Long Index</v>
          </cell>
          <cell r="D113" t="str">
            <v>BEUAGCPLNG</v>
          </cell>
          <cell r="E113">
            <v>1</v>
          </cell>
          <cell r="F113"/>
          <cell r="G113"/>
          <cell r="H113"/>
          <cell r="I113"/>
          <cell r="J113"/>
          <cell r="K113"/>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cell r="BE113"/>
          <cell r="BF113"/>
        </row>
        <row r="114">
          <cell r="B114" t="str">
            <v>BRS26QD24</v>
          </cell>
          <cell r="C114" t="str">
            <v xml:space="preserve">FTSE Actuaries UK Conventional Gilts up </v>
          </cell>
          <cell r="D114" t="str">
            <v>FTGLTL5</v>
          </cell>
          <cell r="E114">
            <v>1</v>
          </cell>
          <cell r="F114"/>
          <cell r="G114"/>
          <cell r="H114"/>
          <cell r="I114"/>
          <cell r="J114"/>
          <cell r="K114"/>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cell r="BE114"/>
          <cell r="BF114"/>
        </row>
        <row r="115">
          <cell r="B115" t="str">
            <v>BRWFAM6N6</v>
          </cell>
          <cell r="C115" t="str">
            <v>MSCI EMU/HEALTH CARE</v>
          </cell>
          <cell r="D115" t="str">
            <v>MS106699</v>
          </cell>
          <cell r="E115">
            <v>1</v>
          </cell>
          <cell r="F115"/>
          <cell r="G115"/>
          <cell r="H115"/>
          <cell r="I115"/>
          <cell r="J115"/>
          <cell r="K115"/>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cell r="BE115"/>
          <cell r="BF115"/>
        </row>
        <row r="116">
          <cell r="B116" t="str">
            <v>BRTD3ZAC3</v>
          </cell>
          <cell r="C116" t="str">
            <v xml:space="preserve">BBG Inflation Linked Eurozone Inflation </v>
          </cell>
          <cell r="D116" t="str">
            <v>B20720EUR</v>
          </cell>
          <cell r="E116">
            <v>1</v>
          </cell>
          <cell r="F116"/>
          <cell r="G116"/>
          <cell r="H116"/>
          <cell r="I116"/>
          <cell r="J116"/>
          <cell r="K116"/>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cell r="BE116"/>
          <cell r="BF116"/>
        </row>
        <row r="117">
          <cell r="B117" t="str">
            <v>BRSAMQMN2</v>
          </cell>
          <cell r="C117" t="str">
            <v>GBP Cash Benchmark</v>
          </cell>
          <cell r="D117" t="str">
            <v>GBPCASHBMK</v>
          </cell>
          <cell r="E117">
            <v>1</v>
          </cell>
          <cell r="F117"/>
          <cell r="G117"/>
          <cell r="H117"/>
          <cell r="I117"/>
          <cell r="J117"/>
          <cell r="K117"/>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cell r="BE117"/>
          <cell r="BF117"/>
        </row>
        <row r="118">
          <cell r="B118" t="str">
            <v>BRWFALRK1</v>
          </cell>
          <cell r="C118" t="str">
            <v>MSCI EMU/MATERIALS</v>
          </cell>
          <cell r="D118" t="str">
            <v>MS106695</v>
          </cell>
          <cell r="E118">
            <v>1</v>
          </cell>
          <cell r="F118"/>
          <cell r="G118"/>
          <cell r="H118"/>
          <cell r="I118"/>
          <cell r="J118"/>
          <cell r="K118"/>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cell r="BE118"/>
          <cell r="BF118"/>
        </row>
        <row r="119">
          <cell r="B119" t="str">
            <v>BRWFAM1A9</v>
          </cell>
          <cell r="C119" t="str">
            <v>MSCI EMU/CONSUMER STAPLES</v>
          </cell>
          <cell r="D119" t="str">
            <v>MS106698</v>
          </cell>
          <cell r="E119">
            <v>1.0000000000000002</v>
          </cell>
          <cell r="F119"/>
          <cell r="G119"/>
          <cell r="H119"/>
          <cell r="I119"/>
          <cell r="J119"/>
          <cell r="K119"/>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cell r="BD119"/>
          <cell r="BE119"/>
          <cell r="BF119"/>
        </row>
        <row r="120">
          <cell r="B120" t="str">
            <v>BRWFALQM8</v>
          </cell>
          <cell r="C120" t="str">
            <v>MSCI EMU/ENERGY</v>
          </cell>
          <cell r="D120" t="str">
            <v>MS106694</v>
          </cell>
          <cell r="E120">
            <v>1</v>
          </cell>
          <cell r="F120"/>
          <cell r="G120"/>
          <cell r="H120"/>
          <cell r="I120"/>
          <cell r="J120"/>
          <cell r="K120"/>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cell r="BE120"/>
          <cell r="BF120"/>
        </row>
        <row r="121">
          <cell r="B121" t="str">
            <v>BRS36ZT25</v>
          </cell>
          <cell r="C121" t="str">
            <v>JP Morgan GBI-EM Global Diversified Inde</v>
          </cell>
          <cell r="D121" t="str">
            <v>JPMGBIEGDV</v>
          </cell>
          <cell r="E121">
            <v>1</v>
          </cell>
          <cell r="F121"/>
          <cell r="G121"/>
          <cell r="H121"/>
          <cell r="I121"/>
          <cell r="J121"/>
          <cell r="K121"/>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cell r="BD121"/>
          <cell r="BE121"/>
          <cell r="BF121"/>
        </row>
        <row r="122">
          <cell r="B122" t="str">
            <v>BRWFAGPX6</v>
          </cell>
          <cell r="C122" t="str">
            <v>MSCI EMU/COMM SVC Index</v>
          </cell>
          <cell r="D122" t="str">
            <v>MS_EMU50</v>
          </cell>
          <cell r="E122">
            <v>1</v>
          </cell>
          <cell r="F122"/>
          <cell r="G122"/>
          <cell r="H122"/>
          <cell r="I122"/>
          <cell r="J122"/>
          <cell r="K122"/>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cell r="BE122"/>
          <cell r="BF122"/>
        </row>
        <row r="123">
          <cell r="B123" t="str">
            <v>BRSAMQM02</v>
          </cell>
          <cell r="C123" t="str">
            <v xml:space="preserve">	AUD Cash Benchmark</v>
          </cell>
          <cell r="D123" t="str">
            <v>AUDCASHBMK</v>
          </cell>
          <cell r="E123">
            <v>1</v>
          </cell>
          <cell r="F123"/>
          <cell r="G123"/>
          <cell r="H123"/>
          <cell r="I123"/>
          <cell r="J123"/>
          <cell r="K123"/>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cell r="BE123"/>
          <cell r="BF123"/>
        </row>
        <row r="124">
          <cell r="B124" t="str">
            <v>BRWFAGPY4</v>
          </cell>
          <cell r="C124" t="str">
            <v>MSCI EMU/UTILITIES Index</v>
          </cell>
          <cell r="D124" t="str">
            <v>MS_EMU55</v>
          </cell>
          <cell r="E124">
            <v>0.99999999999999989</v>
          </cell>
          <cell r="F124"/>
          <cell r="G124"/>
          <cell r="H124"/>
          <cell r="I124"/>
          <cell r="J124"/>
          <cell r="K124"/>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cell r="BE124"/>
          <cell r="BF124"/>
        </row>
        <row r="125">
          <cell r="B125" t="str">
            <v>BRTP0QKN4</v>
          </cell>
          <cell r="C125" t="str">
            <v>Bloomberg Commodity Index Total Return (</v>
          </cell>
          <cell r="D125" t="str">
            <v>DJAB3NOUSD</v>
          </cell>
          <cell r="E125">
            <v>1</v>
          </cell>
          <cell r="F125"/>
          <cell r="G125"/>
          <cell r="H125"/>
          <cell r="I125"/>
          <cell r="J125"/>
          <cell r="K125"/>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cell r="BD125"/>
          <cell r="BE125"/>
          <cell r="BF125"/>
        </row>
        <row r="126">
          <cell r="B126" t="str">
            <v>BRWFAGPV0</v>
          </cell>
          <cell r="C126" t="str">
            <v>MSCI EMU/FINANCIALS Index</v>
          </cell>
          <cell r="D126" t="str">
            <v>MS_EMU40</v>
          </cell>
          <cell r="E126">
            <v>1</v>
          </cell>
          <cell r="F126"/>
          <cell r="G126"/>
          <cell r="H126"/>
          <cell r="I126"/>
          <cell r="J126"/>
          <cell r="K126"/>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cell r="BD126"/>
          <cell r="BE126"/>
          <cell r="BF126"/>
        </row>
        <row r="127">
          <cell r="B127" t="str">
            <v>BRS32M524</v>
          </cell>
          <cell r="C127" t="str">
            <v>BBG Euro Government Inflation-Linked Bon</v>
          </cell>
          <cell r="D127" t="str">
            <v>BCLYEURLIL</v>
          </cell>
          <cell r="E127">
            <v>1</v>
          </cell>
          <cell r="F127"/>
          <cell r="G127"/>
          <cell r="H127"/>
          <cell r="I127"/>
          <cell r="J127"/>
          <cell r="K127"/>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cell r="BE127"/>
          <cell r="BF127"/>
        </row>
        <row r="128">
          <cell r="B128" t="str">
            <v>BRSMFB9T9</v>
          </cell>
          <cell r="C128" t="str">
            <v>BBG Euro Aggregate Treasury 10-15 Yr Ind</v>
          </cell>
          <cell r="D128" t="str">
            <v>B10436EUR</v>
          </cell>
          <cell r="E128">
            <v>1</v>
          </cell>
          <cell r="F128"/>
          <cell r="G128"/>
          <cell r="H128"/>
          <cell r="I128"/>
          <cell r="J128"/>
          <cell r="K128"/>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cell r="BE128"/>
          <cell r="BF128"/>
        </row>
        <row r="129">
          <cell r="B129" t="str">
            <v>BRS1PQBW1</v>
          </cell>
          <cell r="C129" t="str">
            <v>BBG Euro High Yield Index</v>
          </cell>
          <cell r="D129" t="str">
            <v>LEHEURHY</v>
          </cell>
          <cell r="E129">
            <v>1</v>
          </cell>
          <cell r="F129"/>
          <cell r="G129"/>
          <cell r="H129"/>
          <cell r="I129"/>
          <cell r="J129"/>
          <cell r="K129"/>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cell r="BE129"/>
          <cell r="BF129"/>
        </row>
        <row r="130">
          <cell r="B130" t="str">
            <v>BRSRHDSA2</v>
          </cell>
          <cell r="C130" t="str">
            <v>BBG Euro Agg corporate 1-10 years Index</v>
          </cell>
          <cell r="D130" t="str">
            <v>BEAC1-10</v>
          </cell>
          <cell r="E130">
            <v>1.0000000000000002</v>
          </cell>
          <cell r="F130"/>
          <cell r="G130"/>
          <cell r="H130"/>
          <cell r="I130"/>
          <cell r="J130"/>
          <cell r="K130"/>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cell r="BE130"/>
          <cell r="BF130"/>
        </row>
        <row r="131">
          <cell r="B131" t="str">
            <v>BRS30Y5D6</v>
          </cell>
          <cell r="C131" t="str">
            <v>BBG Global Aggregate Euro Treasury Index</v>
          </cell>
          <cell r="D131" t="str">
            <v>LGA_TSYEUR</v>
          </cell>
          <cell r="E131">
            <v>1</v>
          </cell>
          <cell r="F131"/>
          <cell r="G131"/>
          <cell r="H131"/>
          <cell r="I131"/>
          <cell r="J131"/>
          <cell r="K131"/>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cell r="BE131"/>
          <cell r="BF131"/>
        </row>
        <row r="132">
          <cell r="B132" t="str">
            <v>BRS8KCBC6</v>
          </cell>
          <cell r="C132" t="str">
            <v>BBG Euro-Agg: Treasury 7-10 Index</v>
          </cell>
          <cell r="D132" t="str">
            <v>BEAGTS7-10</v>
          </cell>
          <cell r="E132">
            <v>0.99999999999999989</v>
          </cell>
          <cell r="F132"/>
          <cell r="G132"/>
          <cell r="H132"/>
          <cell r="I132"/>
          <cell r="J132"/>
          <cell r="K132"/>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cell r="BE132"/>
          <cell r="BF132"/>
        </row>
        <row r="133">
          <cell r="B133" t="str">
            <v>BRSE58DH6</v>
          </cell>
          <cell r="C133" t="str">
            <v>BBG Euro Government Inflation-Linked 1-1</v>
          </cell>
          <cell r="D133" t="str">
            <v>BCEUHY1-10</v>
          </cell>
          <cell r="E133">
            <v>1</v>
          </cell>
          <cell r="F133"/>
          <cell r="G133"/>
          <cell r="H133"/>
          <cell r="I133"/>
          <cell r="J133"/>
          <cell r="K133"/>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cell r="BE133"/>
          <cell r="BF133"/>
        </row>
        <row r="134">
          <cell r="B134" t="str">
            <v>BRS8FDB71</v>
          </cell>
          <cell r="C134" t="str">
            <v>BBG Euro Agg Treasury 5-7 Yr Index</v>
          </cell>
          <cell r="D134" t="str">
            <v>BEURTY5-7</v>
          </cell>
          <cell r="E134">
            <v>1</v>
          </cell>
          <cell r="F134"/>
          <cell r="G134"/>
          <cell r="H134"/>
          <cell r="I134"/>
          <cell r="J134"/>
          <cell r="K134"/>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cell r="BE134"/>
          <cell r="BF134"/>
        </row>
        <row r="135">
          <cell r="B135" t="str">
            <v>BRTDPY7D4</v>
          </cell>
          <cell r="C135" t="str">
            <v>BBG Euro Treasury 1-15 Year Index</v>
          </cell>
          <cell r="D135" t="str">
            <v>B20717EUR</v>
          </cell>
          <cell r="E135">
            <v>1</v>
          </cell>
          <cell r="F135"/>
          <cell r="G135"/>
          <cell r="H135"/>
          <cell r="I135"/>
          <cell r="J135"/>
          <cell r="K135"/>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cell r="BE135"/>
          <cell r="BF135"/>
        </row>
        <row r="136">
          <cell r="B136" t="str">
            <v>BRSAMQMK8</v>
          </cell>
          <cell r="C136" t="str">
            <v>CHF Cash Benchmark</v>
          </cell>
          <cell r="D136" t="str">
            <v>CHFCASHBMK</v>
          </cell>
          <cell r="E136">
            <v>1</v>
          </cell>
          <cell r="F136"/>
          <cell r="G136"/>
          <cell r="H136"/>
          <cell r="I136"/>
          <cell r="J136"/>
          <cell r="K136"/>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cell r="BE136"/>
          <cell r="BF136"/>
        </row>
        <row r="137">
          <cell r="B137" t="str">
            <v>BRS716RG6</v>
          </cell>
          <cell r="C137" t="str">
            <v>BBG Euro Agg Government 1-5 year Index</v>
          </cell>
          <cell r="D137" t="str">
            <v>LEURTY1-5</v>
          </cell>
          <cell r="E137">
            <v>1</v>
          </cell>
          <cell r="F137"/>
          <cell r="G137"/>
          <cell r="H137"/>
          <cell r="I137"/>
          <cell r="J137"/>
          <cell r="K137"/>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cell r="BE137"/>
          <cell r="BF137"/>
        </row>
        <row r="138">
          <cell r="B138" t="str">
            <v>BRWFAGPZ1</v>
          </cell>
          <cell r="C138" t="str">
            <v>MSCI EMU/REAL ESTATE Index (FX only)</v>
          </cell>
          <cell r="D138" t="str">
            <v>MS_EMURES</v>
          </cell>
          <cell r="E138">
            <v>1.0000000000000004</v>
          </cell>
          <cell r="F138"/>
          <cell r="G138"/>
          <cell r="H138"/>
          <cell r="I138"/>
          <cell r="J138"/>
          <cell r="K138"/>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cell r="BE138"/>
          <cell r="BF138"/>
        </row>
        <row r="139">
          <cell r="B139" t="str">
            <v>BRSALQVX1</v>
          </cell>
          <cell r="C139" t="str">
            <v>EURO Cash Benchmark</v>
          </cell>
          <cell r="D139" t="str">
            <v>EURCASHBMK</v>
          </cell>
          <cell r="E139">
            <v>1</v>
          </cell>
          <cell r="F139"/>
          <cell r="G139"/>
          <cell r="H139"/>
          <cell r="I139"/>
          <cell r="J139"/>
          <cell r="K139"/>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cell r="BE139"/>
          <cell r="BF139"/>
        </row>
        <row r="140">
          <cell r="B140" t="str">
            <v>.CMAHFDH</v>
          </cell>
          <cell r="C140" t="str">
            <v xml:space="preserve">AGGREGATE PORTFOLIO FOR THE GN ACCOUNTS </v>
          </cell>
          <cell r="D140" t="str">
            <v xml:space="preserve">GN-AGG    </v>
          </cell>
          <cell r="E140">
            <v>1.0000000000000002</v>
          </cell>
          <cell r="F140"/>
          <cell r="G140"/>
          <cell r="H140"/>
          <cell r="I140"/>
          <cell r="J140"/>
          <cell r="K140"/>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cell r="BE140"/>
          <cell r="BF140"/>
        </row>
        <row r="141">
          <cell r="B141"/>
          <cell r="C141"/>
          <cell r="D141"/>
          <cell r="E141"/>
          <cell r="F141"/>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row>
        <row r="142">
          <cell r="B142"/>
          <cell r="C142"/>
          <cell r="D142"/>
          <cell r="E142"/>
          <cell r="F142"/>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row>
        <row r="143">
          <cell r="B143"/>
          <cell r="C143"/>
          <cell r="D143"/>
          <cell r="E143"/>
          <cell r="F143"/>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cell r="AW143"/>
          <cell r="AX143"/>
          <cell r="AY143"/>
          <cell r="AZ143"/>
          <cell r="BA143"/>
          <cell r="BB143"/>
          <cell r="BC143"/>
          <cell r="BD143"/>
          <cell r="BE143"/>
          <cell r="BF143"/>
        </row>
        <row r="144">
          <cell r="B144"/>
          <cell r="C144"/>
          <cell r="D144"/>
          <cell r="E144"/>
          <cell r="F144"/>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cell r="AG144"/>
          <cell r="AH144"/>
          <cell r="AI144"/>
          <cell r="AJ144"/>
          <cell r="AK144"/>
          <cell r="AL144"/>
          <cell r="AM144"/>
          <cell r="AN144"/>
          <cell r="AO144"/>
          <cell r="AP144"/>
          <cell r="AQ144"/>
          <cell r="AR144"/>
          <cell r="AS144"/>
          <cell r="AT144"/>
          <cell r="AU144"/>
          <cell r="AV144"/>
          <cell r="AW144"/>
          <cell r="AX144"/>
          <cell r="AY144"/>
          <cell r="AZ144"/>
          <cell r="BA144"/>
          <cell r="BB144"/>
          <cell r="BC144"/>
          <cell r="BD144"/>
          <cell r="BE144"/>
          <cell r="BF144"/>
        </row>
        <row r="145">
          <cell r="B145"/>
          <cell r="C145"/>
          <cell r="D145"/>
          <cell r="E145"/>
          <cell r="F145"/>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row>
        <row r="146">
          <cell r="B146"/>
          <cell r="C146"/>
          <cell r="D146"/>
          <cell r="E146"/>
          <cell r="F146"/>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row>
        <row r="147">
          <cell r="B147"/>
          <cell r="C147"/>
          <cell r="D147"/>
          <cell r="E147"/>
          <cell r="F147"/>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cell r="AY147"/>
          <cell r="AZ147"/>
          <cell r="BA147"/>
          <cell r="BB147"/>
          <cell r="BC147"/>
          <cell r="BD147"/>
          <cell r="BE147"/>
          <cell r="BF147"/>
        </row>
        <row r="148">
          <cell r="B148"/>
          <cell r="C148"/>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cell r="BE148"/>
          <cell r="BF148"/>
        </row>
        <row r="149">
          <cell r="B149"/>
          <cell r="C149"/>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cell r="AP149"/>
          <cell r="AQ149"/>
          <cell r="AR149"/>
          <cell r="AS149"/>
          <cell r="AT149"/>
          <cell r="AU149"/>
          <cell r="AV149"/>
          <cell r="AW149"/>
          <cell r="AX149"/>
          <cell r="AY149"/>
          <cell r="AZ149"/>
          <cell r="BA149"/>
          <cell r="BB149"/>
          <cell r="BC149"/>
          <cell r="BD149"/>
          <cell r="BE149"/>
          <cell r="BF149"/>
        </row>
        <row r="150">
          <cell r="B150"/>
          <cell r="C150"/>
          <cell r="D150"/>
          <cell r="E150"/>
          <cell r="F150"/>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row>
        <row r="151">
          <cell r="B151"/>
          <cell r="C151"/>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row>
        <row r="152">
          <cell r="B152"/>
          <cell r="C152"/>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row>
        <row r="153">
          <cell r="B153"/>
          <cell r="C153"/>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row>
        <row r="154">
          <cell r="B154"/>
          <cell r="C154"/>
          <cell r="D154"/>
          <cell r="E154"/>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row>
        <row r="155">
          <cell r="B155"/>
          <cell r="C155"/>
          <cell r="D155"/>
          <cell r="E155"/>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row>
        <row r="156">
          <cell r="B156"/>
          <cell r="C156"/>
          <cell r="D156"/>
          <cell r="E156"/>
          <cell r="F156"/>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row>
        <row r="157">
          <cell r="B157"/>
          <cell r="C157"/>
          <cell r="D157"/>
          <cell r="E157"/>
          <cell r="F157"/>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heme/theme1.xml><?xml version="1.0" encoding="utf-8"?>
<a:theme xmlns:a="http://schemas.openxmlformats.org/drawingml/2006/main" name="Office Theme">
  <a:themeElements>
    <a:clrScheme name="BLK 2019">
      <a:dk1>
        <a:srgbClr val="000000"/>
      </a:dk1>
      <a:lt1>
        <a:srgbClr val="FFFFFF"/>
      </a:lt1>
      <a:dk2>
        <a:srgbClr val="000000"/>
      </a:dk2>
      <a:lt2>
        <a:srgbClr val="D6D5DD"/>
      </a:lt2>
      <a:accent1>
        <a:srgbClr val="FF4713"/>
      </a:accent1>
      <a:accent2>
        <a:srgbClr val="FFCE00"/>
      </a:accent2>
      <a:accent3>
        <a:srgbClr val="008B5C"/>
      </a:accent3>
      <a:accent4>
        <a:srgbClr val="FC9BB3"/>
      </a:accent4>
      <a:accent5>
        <a:srgbClr val="9062BC"/>
      </a:accent5>
      <a:accent6>
        <a:srgbClr val="C00B28"/>
      </a:accent6>
      <a:hlink>
        <a:srgbClr val="FF4713"/>
      </a:hlink>
      <a:folHlink>
        <a:srgbClr val="D5003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lackrock.com/institutions/en-zz/insights/charts/capital-market-assumptions"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blackrock.com/institutions/en-zz/insights/charts/capital-market-assumption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blackrock.com/institutions/en-zz/insights/charts/capital-market-assumption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blackrock.com/corporate/literature/whitepaper/bii-portfolio-construction-private-markets-march-2019.pdf" TargetMode="External"/><Relationship Id="rId7" Type="http://schemas.openxmlformats.org/officeDocument/2006/relationships/printerSettings" Target="../printerSettings/printerSettings4.bin"/><Relationship Id="rId2" Type="http://schemas.openxmlformats.org/officeDocument/2006/relationships/hyperlink" Target="https://www.blackrock.com/institutions/en-us/literature/investor-education/blackrock-us-ldi-market-watch-publication.pdf" TargetMode="External"/><Relationship Id="rId1" Type="http://schemas.openxmlformats.org/officeDocument/2006/relationships/hyperlink" Target="https://www.blackrock.com/institutions/en-zz/insights/charts/capital-market-assumptions" TargetMode="External"/><Relationship Id="rId6" Type="http://schemas.openxmlformats.org/officeDocument/2006/relationships/hyperlink" Target="https://treasury.worldbank.org/en/about/unit/treasury/impact/reserve-management-survey-report" TargetMode="External"/><Relationship Id="rId5" Type="http://schemas.openxmlformats.org/officeDocument/2006/relationships/hyperlink" Target="https://www.blackrock.com/corporate/literature/whitepaper/bii-portfolio-construction-private-markets-march-2019.pdf" TargetMode="External"/><Relationship Id="rId4" Type="http://schemas.openxmlformats.org/officeDocument/2006/relationships/hyperlink" Target="https://www.blackrock.com/corporate/literature/whitepaper/bii-portfolio-construction-private-markets-march-2019.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sheetPr>
  <dimension ref="A1:AP391"/>
  <sheetViews>
    <sheetView workbookViewId="0">
      <pane ySplit="3" topLeftCell="A64" activePane="bottomLeft" state="frozen"/>
      <selection pane="bottomLeft" activeCell="C74" sqref="C74:D74"/>
    </sheetView>
  </sheetViews>
  <sheetFormatPr defaultRowHeight="12.75" x14ac:dyDescent="0.2"/>
  <cols>
    <col min="1" max="1" width="14.85546875" customWidth="1"/>
    <col min="2" max="2" width="25" customWidth="1"/>
    <col min="3" max="3" width="46.85546875" bestFit="1" customWidth="1"/>
    <col min="4" max="4" width="61" bestFit="1" customWidth="1"/>
    <col min="7" max="7" width="9.140625" style="76"/>
    <col min="9" max="9" width="9.140625" customWidth="1"/>
    <col min="40" max="40" width="10.28515625" customWidth="1"/>
    <col min="41" max="41" width="17.5703125" customWidth="1"/>
    <col min="42" max="42" width="10.85546875" customWidth="1"/>
  </cols>
  <sheetData>
    <row r="1" spans="1:42" s="49" customFormat="1" ht="33.75" customHeight="1" x14ac:dyDescent="0.2">
      <c r="A1" s="85" t="s">
        <v>319</v>
      </c>
      <c r="B1" s="85"/>
      <c r="C1" s="85"/>
      <c r="D1" s="85"/>
      <c r="G1" s="73"/>
    </row>
    <row r="2" spans="1:42" s="47" customFormat="1" ht="19.5" customHeight="1" x14ac:dyDescent="0.2">
      <c r="A2" s="48" t="s">
        <v>397</v>
      </c>
      <c r="C2" s="3" t="s">
        <v>2</v>
      </c>
      <c r="E2" s="91" t="s">
        <v>318</v>
      </c>
      <c r="F2" s="91"/>
      <c r="G2" s="92"/>
      <c r="H2" s="91"/>
      <c r="I2" s="91"/>
      <c r="J2" s="91"/>
      <c r="K2" s="90"/>
      <c r="L2" s="86" t="s">
        <v>317</v>
      </c>
      <c r="M2" s="87"/>
      <c r="N2" s="87"/>
      <c r="O2" s="87"/>
      <c r="P2" s="87"/>
      <c r="Q2" s="87"/>
      <c r="R2" s="88"/>
      <c r="S2" s="86" t="s">
        <v>316</v>
      </c>
      <c r="T2" s="87"/>
      <c r="U2" s="87"/>
      <c r="V2" s="87"/>
      <c r="W2" s="87"/>
      <c r="X2" s="87"/>
      <c r="Y2" s="88"/>
      <c r="Z2" s="86" t="s">
        <v>315</v>
      </c>
      <c r="AA2" s="87"/>
      <c r="AB2" s="87"/>
      <c r="AC2" s="87"/>
      <c r="AD2" s="87"/>
      <c r="AE2" s="87"/>
      <c r="AF2" s="88"/>
      <c r="AG2" s="86" t="s">
        <v>314</v>
      </c>
      <c r="AH2" s="87"/>
      <c r="AI2" s="87"/>
      <c r="AJ2" s="87"/>
      <c r="AK2" s="87"/>
      <c r="AL2" s="87"/>
      <c r="AM2" s="88"/>
      <c r="AN2" s="54" t="s">
        <v>313</v>
      </c>
      <c r="AO2" s="89" t="s">
        <v>312</v>
      </c>
      <c r="AP2" s="90"/>
    </row>
    <row r="3" spans="1:42" s="40" customFormat="1" ht="19.5" customHeight="1" thickBot="1" x14ac:dyDescent="0.25">
      <c r="A3" s="46" t="s">
        <v>311</v>
      </c>
      <c r="B3" s="46" t="s">
        <v>310</v>
      </c>
      <c r="C3" s="46" t="s">
        <v>309</v>
      </c>
      <c r="D3" s="45" t="s">
        <v>308</v>
      </c>
      <c r="E3" s="44" t="s">
        <v>307</v>
      </c>
      <c r="F3" s="44" t="s">
        <v>306</v>
      </c>
      <c r="G3" s="74" t="s">
        <v>305</v>
      </c>
      <c r="H3" s="44" t="s">
        <v>304</v>
      </c>
      <c r="I3" s="44" t="s">
        <v>303</v>
      </c>
      <c r="J3" s="44" t="s">
        <v>302</v>
      </c>
      <c r="K3" s="41" t="s">
        <v>301</v>
      </c>
      <c r="L3" s="44" t="s">
        <v>307</v>
      </c>
      <c r="M3" s="44" t="s">
        <v>306</v>
      </c>
      <c r="N3" s="44" t="s">
        <v>305</v>
      </c>
      <c r="O3" s="44" t="s">
        <v>304</v>
      </c>
      <c r="P3" s="44" t="s">
        <v>303</v>
      </c>
      <c r="Q3" s="44" t="s">
        <v>302</v>
      </c>
      <c r="R3" s="44" t="s">
        <v>301</v>
      </c>
      <c r="S3" s="42" t="s">
        <v>307</v>
      </c>
      <c r="T3" s="44" t="s">
        <v>306</v>
      </c>
      <c r="U3" s="44" t="s">
        <v>305</v>
      </c>
      <c r="V3" s="44" t="s">
        <v>304</v>
      </c>
      <c r="W3" s="44" t="s">
        <v>303</v>
      </c>
      <c r="X3" s="44" t="s">
        <v>302</v>
      </c>
      <c r="Y3" s="44" t="s">
        <v>301</v>
      </c>
      <c r="Z3" s="42" t="s">
        <v>307</v>
      </c>
      <c r="AA3" s="44" t="s">
        <v>306</v>
      </c>
      <c r="AB3" s="44" t="s">
        <v>305</v>
      </c>
      <c r="AC3" s="44" t="s">
        <v>304</v>
      </c>
      <c r="AD3" s="44" t="s">
        <v>303</v>
      </c>
      <c r="AE3" s="44" t="s">
        <v>302</v>
      </c>
      <c r="AF3" s="44" t="s">
        <v>301</v>
      </c>
      <c r="AG3" s="42" t="s">
        <v>307</v>
      </c>
      <c r="AH3" s="44" t="s">
        <v>306</v>
      </c>
      <c r="AI3" s="44" t="s">
        <v>305</v>
      </c>
      <c r="AJ3" s="44" t="s">
        <v>304</v>
      </c>
      <c r="AK3" s="44" t="s">
        <v>303</v>
      </c>
      <c r="AL3" s="44" t="s">
        <v>302</v>
      </c>
      <c r="AM3" s="44" t="s">
        <v>301</v>
      </c>
      <c r="AN3" s="43"/>
      <c r="AO3" s="42" t="s">
        <v>300</v>
      </c>
      <c r="AP3" s="41" t="s">
        <v>129</v>
      </c>
    </row>
    <row r="4" spans="1:42" s="77" customFormat="1" x14ac:dyDescent="0.2">
      <c r="A4" s="77" t="s">
        <v>138</v>
      </c>
      <c r="B4" s="77" t="s">
        <v>129</v>
      </c>
      <c r="C4" s="77" t="s">
        <v>137</v>
      </c>
      <c r="D4" s="77" t="s">
        <v>136</v>
      </c>
      <c r="E4" s="80">
        <v>6.5581321999999997E-2</v>
      </c>
      <c r="F4" s="80">
        <v>6.6198706999999996E-2</v>
      </c>
      <c r="G4" s="80">
        <v>6.7629457000000004E-2</v>
      </c>
      <c r="H4" s="80">
        <v>6.9521188999999997E-2</v>
      </c>
      <c r="I4" s="80">
        <v>7.0690750999999996E-2</v>
      </c>
      <c r="J4" s="80">
        <v>7.1411967000000007E-2</v>
      </c>
      <c r="K4" s="80">
        <v>7.1878195000000006E-2</v>
      </c>
      <c r="L4" s="80">
        <v>1.9469769999999999E-3</v>
      </c>
      <c r="M4" s="80">
        <v>9.362848E-3</v>
      </c>
      <c r="N4" s="80">
        <v>1.2210284E-2</v>
      </c>
      <c r="O4" s="80">
        <v>1.5121056000000001E-2</v>
      </c>
      <c r="P4" s="80">
        <v>1.7156929000000001E-2</v>
      </c>
      <c r="Q4" s="80">
        <v>2.0162196E-2</v>
      </c>
      <c r="R4" s="80">
        <v>2.2668411999999999E-2</v>
      </c>
      <c r="S4" s="80">
        <v>0.132998332</v>
      </c>
      <c r="T4" s="80">
        <v>0.126695691</v>
      </c>
      <c r="U4" s="80">
        <v>0.125793927</v>
      </c>
      <c r="V4" s="80">
        <v>0.12695230199999999</v>
      </c>
      <c r="W4" s="80">
        <v>0.12709342600000001</v>
      </c>
      <c r="X4" s="80">
        <v>0.12498917700000001</v>
      </c>
      <c r="Y4" s="80">
        <v>0.123950303</v>
      </c>
      <c r="Z4" s="80">
        <v>4.0338306999999997E-2</v>
      </c>
      <c r="AA4" s="80">
        <v>3.7376094999999998E-2</v>
      </c>
      <c r="AB4" s="80">
        <v>3.0805735000000001E-2</v>
      </c>
      <c r="AC4" s="80">
        <v>2.8322876E-2</v>
      </c>
      <c r="AD4" s="80">
        <v>2.716236E-2</v>
      </c>
      <c r="AE4" s="80">
        <v>2.9963208000000002E-2</v>
      </c>
      <c r="AF4" s="80">
        <v>2.9392088E-2</v>
      </c>
      <c r="AG4" s="80">
        <v>9.1437165000000001E-2</v>
      </c>
      <c r="AH4" s="80">
        <v>9.5822382999999997E-2</v>
      </c>
      <c r="AI4" s="80">
        <v>0.105768821</v>
      </c>
      <c r="AJ4" s="80">
        <v>0.112370151</v>
      </c>
      <c r="AK4" s="80">
        <v>0.116063763</v>
      </c>
      <c r="AL4" s="80">
        <v>0.114528725</v>
      </c>
      <c r="AM4" s="80">
        <v>0.11611789</v>
      </c>
      <c r="AN4" s="80">
        <v>0.191981649</v>
      </c>
      <c r="AO4" s="80">
        <v>1.32581E-4</v>
      </c>
      <c r="AP4" s="80">
        <v>0.90228558800000003</v>
      </c>
    </row>
    <row r="5" spans="1:42" x14ac:dyDescent="0.2">
      <c r="A5" t="s">
        <v>240</v>
      </c>
      <c r="B5" t="s">
        <v>129</v>
      </c>
      <c r="C5" t="s">
        <v>137</v>
      </c>
      <c r="D5" t="s">
        <v>136</v>
      </c>
      <c r="E5" s="71">
        <v>5.0875425000000002E-2</v>
      </c>
      <c r="F5" s="71">
        <v>5.1592231000000002E-2</v>
      </c>
      <c r="G5" s="71">
        <v>5.3319573000000002E-2</v>
      </c>
      <c r="H5" s="71">
        <v>5.5771111999999998E-2</v>
      </c>
      <c r="I5" s="71">
        <v>5.7439684999999997E-2</v>
      </c>
      <c r="J5" s="71">
        <v>5.8568597E-2</v>
      </c>
      <c r="K5" s="71">
        <v>5.9359430999999997E-2</v>
      </c>
      <c r="L5" s="71">
        <v>-2.3020319999999999E-3</v>
      </c>
      <c r="M5" s="71">
        <v>2.751589E-3</v>
      </c>
      <c r="N5" s="71">
        <v>4.2822659999999999E-3</v>
      </c>
      <c r="O5" s="71">
        <v>5.9592270000000001E-3</v>
      </c>
      <c r="P5" s="71">
        <v>8.6084379999999995E-3</v>
      </c>
      <c r="Q5" s="71">
        <v>1.0156215E-2</v>
      </c>
      <c r="R5" s="71">
        <v>1.2194661000000001E-2</v>
      </c>
      <c r="S5" s="71">
        <v>0.107754877</v>
      </c>
      <c r="T5" s="71">
        <v>0.10240603099999999</v>
      </c>
      <c r="U5" s="71">
        <v>0.104629718</v>
      </c>
      <c r="V5" s="71">
        <v>0.10778157300000001</v>
      </c>
      <c r="W5" s="71">
        <v>0.109541365</v>
      </c>
      <c r="X5" s="71">
        <v>0.108862319</v>
      </c>
      <c r="Y5" s="71">
        <v>0.109170394</v>
      </c>
      <c r="Z5" s="71">
        <v>2.9214633E-2</v>
      </c>
      <c r="AA5" s="71">
        <v>2.5786370999999999E-2</v>
      </c>
      <c r="AB5" s="71">
        <v>1.9652144E-2</v>
      </c>
      <c r="AC5" s="71">
        <v>1.4607711000000001E-2</v>
      </c>
      <c r="AD5" s="71">
        <v>1.4960581000000001E-2</v>
      </c>
      <c r="AE5" s="71">
        <v>1.5821307E-2</v>
      </c>
      <c r="AF5" s="71">
        <v>1.6064901999999999E-2</v>
      </c>
      <c r="AG5" s="71">
        <v>7.2992067999999993E-2</v>
      </c>
      <c r="AH5" s="71">
        <v>7.8047412999999996E-2</v>
      </c>
      <c r="AI5" s="71">
        <v>8.8098801000000004E-2</v>
      </c>
      <c r="AJ5" s="71">
        <v>9.8604683999999998E-2</v>
      </c>
      <c r="AK5" s="71">
        <v>0.101696701</v>
      </c>
      <c r="AL5" s="71">
        <v>0.103114658</v>
      </c>
      <c r="AM5" s="71">
        <v>0.10449897900000001</v>
      </c>
      <c r="AN5" s="71">
        <v>0.15737451599999999</v>
      </c>
      <c r="AO5" s="71">
        <v>-0.233611292</v>
      </c>
      <c r="AP5" s="71">
        <v>0.87143435800000002</v>
      </c>
    </row>
    <row r="6" spans="1:42" x14ac:dyDescent="0.2">
      <c r="A6" t="s">
        <v>224</v>
      </c>
      <c r="B6" t="s">
        <v>129</v>
      </c>
      <c r="C6" t="s">
        <v>137</v>
      </c>
      <c r="D6" t="s">
        <v>136</v>
      </c>
      <c r="E6" s="71">
        <v>5.5148839999999998E-2</v>
      </c>
      <c r="F6" s="71">
        <v>5.5952429999999997E-2</v>
      </c>
      <c r="G6" s="71">
        <v>5.7772279000000003E-2</v>
      </c>
      <c r="H6" s="71">
        <v>6.0070514999999998E-2</v>
      </c>
      <c r="I6" s="71">
        <v>6.1391830000000001E-2</v>
      </c>
      <c r="J6" s="71">
        <v>6.2141060999999997E-2</v>
      </c>
      <c r="K6" s="71">
        <v>6.2584996000000004E-2</v>
      </c>
      <c r="L6" s="71">
        <v>-1.2793E-4</v>
      </c>
      <c r="M6" s="71">
        <v>5.9069719999999999E-3</v>
      </c>
      <c r="N6" s="71">
        <v>8.6727869999999995E-3</v>
      </c>
      <c r="O6" s="71">
        <v>1.0179390999999999E-2</v>
      </c>
      <c r="P6" s="71">
        <v>1.2205163999999999E-2</v>
      </c>
      <c r="Q6" s="71">
        <v>1.3879265999999999E-2</v>
      </c>
      <c r="R6" s="71">
        <v>1.6955980999999998E-2</v>
      </c>
      <c r="S6" s="71">
        <v>0.113705154</v>
      </c>
      <c r="T6" s="71">
        <v>0.10875751</v>
      </c>
      <c r="U6" s="71">
        <v>0.109781515</v>
      </c>
      <c r="V6" s="71">
        <v>0.113021292</v>
      </c>
      <c r="W6" s="71">
        <v>0.112876064</v>
      </c>
      <c r="X6" s="71">
        <v>0.11262897099999999</v>
      </c>
      <c r="Y6" s="71">
        <v>0.110394327</v>
      </c>
      <c r="Z6" s="71">
        <v>2.9935671000000001E-2</v>
      </c>
      <c r="AA6" s="71">
        <v>2.9576886E-2</v>
      </c>
      <c r="AB6" s="71">
        <v>2.1834795000000001E-2</v>
      </c>
      <c r="AC6" s="71">
        <v>1.7888013000000001E-2</v>
      </c>
      <c r="AD6" s="71">
        <v>2.0172817999999999E-2</v>
      </c>
      <c r="AE6" s="71">
        <v>1.9915792000000002E-2</v>
      </c>
      <c r="AF6" s="71">
        <v>2.2711176999999999E-2</v>
      </c>
      <c r="AG6" s="71">
        <v>8.0979458000000004E-2</v>
      </c>
      <c r="AH6" s="71">
        <v>8.3003751000000001E-2</v>
      </c>
      <c r="AI6" s="71">
        <v>9.4973874E-2</v>
      </c>
      <c r="AJ6" s="71">
        <v>0.104001212</v>
      </c>
      <c r="AK6" s="71">
        <v>0.10427626199999999</v>
      </c>
      <c r="AL6" s="71">
        <v>0.10611440799999999</v>
      </c>
      <c r="AM6" s="71">
        <v>0.10401337300000001</v>
      </c>
      <c r="AN6" s="71">
        <v>0.16097788299999999</v>
      </c>
      <c r="AO6" s="71">
        <v>-9.0309228000000005E-2</v>
      </c>
      <c r="AP6" s="71">
        <v>0.84400561100000004</v>
      </c>
    </row>
    <row r="7" spans="1:42" x14ac:dyDescent="0.2">
      <c r="A7" t="s">
        <v>200</v>
      </c>
      <c r="B7" t="s">
        <v>129</v>
      </c>
      <c r="C7" t="s">
        <v>137</v>
      </c>
      <c r="D7" t="s">
        <v>136</v>
      </c>
      <c r="E7" s="71">
        <v>3.0541538999999999E-2</v>
      </c>
      <c r="F7" s="71">
        <v>3.1937598999999997E-2</v>
      </c>
      <c r="G7" s="71">
        <v>3.5120725999999998E-2</v>
      </c>
      <c r="H7" s="71">
        <v>3.9390802000000003E-2</v>
      </c>
      <c r="I7" s="71">
        <v>4.2194365999999997E-2</v>
      </c>
      <c r="J7" s="71">
        <v>4.4062852999999999E-2</v>
      </c>
      <c r="K7" s="71">
        <v>4.5364738000000002E-2</v>
      </c>
      <c r="L7" s="71">
        <v>-3.8059880999999997E-2</v>
      </c>
      <c r="M7" s="71">
        <v>-2.8156462E-2</v>
      </c>
      <c r="N7" s="71">
        <v>-2.4328326000000001E-2</v>
      </c>
      <c r="O7" s="71">
        <v>-1.6224124999999999E-2</v>
      </c>
      <c r="P7" s="71">
        <v>-1.2049433999999999E-2</v>
      </c>
      <c r="Q7" s="71">
        <v>-7.8431070000000002E-3</v>
      </c>
      <c r="R7" s="71">
        <v>-4.4774510000000003E-3</v>
      </c>
      <c r="S7" s="71">
        <v>0.103074424</v>
      </c>
      <c r="T7" s="71">
        <v>9.4727969999999995E-2</v>
      </c>
      <c r="U7" s="71">
        <v>9.6757459000000004E-2</v>
      </c>
      <c r="V7" s="71">
        <v>9.8637198999999995E-2</v>
      </c>
      <c r="W7" s="71">
        <v>9.9502679999999996E-2</v>
      </c>
      <c r="X7" s="71">
        <v>9.9007968000000002E-2</v>
      </c>
      <c r="Y7" s="71">
        <v>9.6932343000000004E-2</v>
      </c>
      <c r="Z7" s="71">
        <v>3.090701E-3</v>
      </c>
      <c r="AA7" s="71">
        <v>2.189477E-3</v>
      </c>
      <c r="AB7" s="71">
        <v>-2.9930299999999998E-3</v>
      </c>
      <c r="AC7" s="71">
        <v>-4.3319090000000001E-3</v>
      </c>
      <c r="AD7" s="71">
        <v>-1.732557E-3</v>
      </c>
      <c r="AE7" s="71">
        <v>2.7365979999999998E-3</v>
      </c>
      <c r="AF7" s="71">
        <v>7.901234E-3</v>
      </c>
      <c r="AG7" s="71">
        <v>5.8662167000000001E-2</v>
      </c>
      <c r="AH7" s="71">
        <v>6.2491706000000001E-2</v>
      </c>
      <c r="AI7" s="71">
        <v>7.4625035000000006E-2</v>
      </c>
      <c r="AJ7" s="71">
        <v>8.4982652000000006E-2</v>
      </c>
      <c r="AK7" s="71">
        <v>8.8014083000000007E-2</v>
      </c>
      <c r="AL7" s="71">
        <v>8.7060230000000002E-2</v>
      </c>
      <c r="AM7" s="71">
        <v>8.4193717000000001E-2</v>
      </c>
      <c r="AN7" s="71">
        <v>0.211027089</v>
      </c>
      <c r="AO7" s="71">
        <v>-0.24837633100000001</v>
      </c>
      <c r="AP7" s="71">
        <v>0.82633208999999996</v>
      </c>
    </row>
    <row r="8" spans="1:42" x14ac:dyDescent="0.2">
      <c r="A8" t="s">
        <v>259</v>
      </c>
      <c r="B8" t="s">
        <v>129</v>
      </c>
      <c r="C8" t="s">
        <v>137</v>
      </c>
      <c r="D8" t="s">
        <v>136</v>
      </c>
      <c r="E8" s="71">
        <v>5.4344892999999998E-2</v>
      </c>
      <c r="F8" s="71">
        <v>5.4823399000000002E-2</v>
      </c>
      <c r="G8" s="71">
        <v>5.5744052000000002E-2</v>
      </c>
      <c r="H8" s="71">
        <v>5.6646228E-2</v>
      </c>
      <c r="I8" s="71">
        <v>5.7038307000000003E-2</v>
      </c>
      <c r="J8" s="71">
        <v>5.7223916E-2</v>
      </c>
      <c r="K8" s="71">
        <v>5.7326317000000002E-2</v>
      </c>
      <c r="L8" s="71">
        <v>-3.3169269999999999E-3</v>
      </c>
      <c r="M8" s="71">
        <v>2.2609309999999999E-3</v>
      </c>
      <c r="N8" s="71">
        <v>3.485274E-3</v>
      </c>
      <c r="O8" s="71">
        <v>5.2004069999999998E-3</v>
      </c>
      <c r="P8" s="71">
        <v>6.5940859999999999E-3</v>
      </c>
      <c r="Q8" s="71">
        <v>9.2962919999999994E-3</v>
      </c>
      <c r="R8" s="71">
        <v>1.1485321E-2</v>
      </c>
      <c r="S8" s="71">
        <v>0.116651739</v>
      </c>
      <c r="T8" s="71">
        <v>0.11065858000000001</v>
      </c>
      <c r="U8" s="71">
        <v>0.110925406</v>
      </c>
      <c r="V8" s="71">
        <v>0.11129046500000001</v>
      </c>
      <c r="W8" s="71">
        <v>0.109045187</v>
      </c>
      <c r="X8" s="71">
        <v>0.107320554</v>
      </c>
      <c r="Y8" s="71">
        <v>0.105520241</v>
      </c>
      <c r="Z8" s="71">
        <v>2.9893809E-2</v>
      </c>
      <c r="AA8" s="71">
        <v>2.7084363E-2</v>
      </c>
      <c r="AB8" s="71">
        <v>2.0929677000000001E-2</v>
      </c>
      <c r="AC8" s="71">
        <v>1.7089667999999999E-2</v>
      </c>
      <c r="AD8" s="71">
        <v>1.7149630999999999E-2</v>
      </c>
      <c r="AE8" s="71">
        <v>1.6912976E-2</v>
      </c>
      <c r="AF8" s="71">
        <v>1.7084181E-2</v>
      </c>
      <c r="AG8" s="71">
        <v>7.9293635000000001E-2</v>
      </c>
      <c r="AH8" s="71">
        <v>8.3233002E-2</v>
      </c>
      <c r="AI8" s="71">
        <v>9.1678045999999999E-2</v>
      </c>
      <c r="AJ8" s="71">
        <v>9.7689752000000005E-2</v>
      </c>
      <c r="AK8" s="71">
        <v>9.8451006999999993E-2</v>
      </c>
      <c r="AL8" s="71">
        <v>9.9099944999999995E-2</v>
      </c>
      <c r="AM8" s="71">
        <v>9.9133299999999994E-2</v>
      </c>
      <c r="AN8" s="71">
        <v>0.17585558100000001</v>
      </c>
      <c r="AO8" s="71">
        <v>-0.20413815900000001</v>
      </c>
      <c r="AP8" s="71">
        <v>0.85588453399999997</v>
      </c>
    </row>
    <row r="9" spans="1:42" x14ac:dyDescent="0.2">
      <c r="A9" t="s">
        <v>288</v>
      </c>
      <c r="B9" t="s">
        <v>129</v>
      </c>
      <c r="C9" t="s">
        <v>137</v>
      </c>
      <c r="D9" t="s">
        <v>136</v>
      </c>
      <c r="E9" s="71">
        <v>6.2729955000000004E-2</v>
      </c>
      <c r="F9" s="71">
        <v>6.3659786999999995E-2</v>
      </c>
      <c r="G9" s="71">
        <v>6.5890430999999999E-2</v>
      </c>
      <c r="H9" s="71">
        <v>6.9047212999999996E-2</v>
      </c>
      <c r="I9" s="71">
        <v>7.1193575999999995E-2</v>
      </c>
      <c r="J9" s="71">
        <v>7.2645425999999999E-2</v>
      </c>
      <c r="K9" s="71">
        <v>7.3662877000000002E-2</v>
      </c>
      <c r="L9" s="71">
        <v>1.2233578E-2</v>
      </c>
      <c r="M9" s="71">
        <v>1.7806925000000001E-2</v>
      </c>
      <c r="N9" s="71">
        <v>1.9523638999999999E-2</v>
      </c>
      <c r="O9" s="71">
        <v>2.1234757E-2</v>
      </c>
      <c r="P9" s="71">
        <v>2.4532815999999999E-2</v>
      </c>
      <c r="Q9" s="71">
        <v>2.7436543000000001E-2</v>
      </c>
      <c r="R9" s="71">
        <v>3.0838852E-2</v>
      </c>
      <c r="S9" s="71">
        <v>0.115768249</v>
      </c>
      <c r="T9" s="71">
        <v>0.111776432</v>
      </c>
      <c r="U9" s="71">
        <v>0.114942847</v>
      </c>
      <c r="V9" s="71">
        <v>0.118117265</v>
      </c>
      <c r="W9" s="71">
        <v>0.11961620000000001</v>
      </c>
      <c r="X9" s="71">
        <v>0.11986081899999999</v>
      </c>
      <c r="Y9" s="71">
        <v>0.118331937</v>
      </c>
      <c r="Z9" s="71">
        <v>3.7909903000000002E-2</v>
      </c>
      <c r="AA9" s="71">
        <v>3.6050787000000001E-2</v>
      </c>
      <c r="AB9" s="71">
        <v>3.0020772000000001E-2</v>
      </c>
      <c r="AC9" s="71">
        <v>2.6724832E-2</v>
      </c>
      <c r="AD9" s="71">
        <v>2.8624498000000002E-2</v>
      </c>
      <c r="AE9" s="71">
        <v>3.0903280000000002E-2</v>
      </c>
      <c r="AF9" s="71">
        <v>3.3340613999999998E-2</v>
      </c>
      <c r="AG9" s="71">
        <v>8.8059841E-2</v>
      </c>
      <c r="AH9" s="71">
        <v>9.1925380000000001E-2</v>
      </c>
      <c r="AI9" s="71">
        <v>0.102941139</v>
      </c>
      <c r="AJ9" s="71">
        <v>0.113062129</v>
      </c>
      <c r="AK9" s="71">
        <v>0.115483354</v>
      </c>
      <c r="AL9" s="71">
        <v>0.11604442199999999</v>
      </c>
      <c r="AM9" s="71">
        <v>0.115530628</v>
      </c>
      <c r="AN9" s="71">
        <v>0.14007623399999999</v>
      </c>
      <c r="AO9" s="71">
        <v>-0.13215268099999999</v>
      </c>
      <c r="AP9" s="71">
        <v>0.80657209799999996</v>
      </c>
    </row>
    <row r="10" spans="1:42" x14ac:dyDescent="0.2">
      <c r="A10" t="s">
        <v>272</v>
      </c>
      <c r="B10" t="s">
        <v>129</v>
      </c>
      <c r="C10" t="s">
        <v>137</v>
      </c>
      <c r="D10" t="s">
        <v>136</v>
      </c>
      <c r="E10" s="71">
        <v>4.6247125E-2</v>
      </c>
      <c r="F10" s="71">
        <v>4.7900199999999997E-2</v>
      </c>
      <c r="G10" s="71">
        <v>5.1769375999999999E-2</v>
      </c>
      <c r="H10" s="71">
        <v>5.7073831999999998E-2</v>
      </c>
      <c r="I10" s="71">
        <v>6.0588241000000001E-2</v>
      </c>
      <c r="J10" s="71">
        <v>6.2934160000000003E-2</v>
      </c>
      <c r="K10" s="71">
        <v>6.4568043000000006E-2</v>
      </c>
      <c r="L10" s="71">
        <v>-6.0966170000000004E-3</v>
      </c>
      <c r="M10" s="71">
        <v>3.90596E-4</v>
      </c>
      <c r="N10" s="71">
        <v>4.9247589999999999E-3</v>
      </c>
      <c r="O10" s="71">
        <v>8.9824459999999998E-3</v>
      </c>
      <c r="P10" s="71">
        <v>1.2571824000000001E-2</v>
      </c>
      <c r="Q10" s="71">
        <v>1.6799020000000001E-2</v>
      </c>
      <c r="R10" s="71">
        <v>1.983592E-2</v>
      </c>
      <c r="S10" s="71">
        <v>0.10211704200000001</v>
      </c>
      <c r="T10" s="71">
        <v>9.7720137999999998E-2</v>
      </c>
      <c r="U10" s="71">
        <v>0.10105552800000001</v>
      </c>
      <c r="V10" s="71">
        <v>0.10700258999999999</v>
      </c>
      <c r="W10" s="71">
        <v>0.111006988</v>
      </c>
      <c r="X10" s="71">
        <v>0.110802768</v>
      </c>
      <c r="Y10" s="71">
        <v>0.110441065</v>
      </c>
      <c r="Z10" s="71">
        <v>2.0880159999999998E-2</v>
      </c>
      <c r="AA10" s="71">
        <v>2.1435042000000001E-2</v>
      </c>
      <c r="AB10" s="71">
        <v>1.7563351000000001E-2</v>
      </c>
      <c r="AC10" s="71">
        <v>1.7770063999999999E-2</v>
      </c>
      <c r="AD10" s="71">
        <v>2.0569870000000001E-2</v>
      </c>
      <c r="AE10" s="71">
        <v>2.1862718E-2</v>
      </c>
      <c r="AF10" s="71">
        <v>2.3486485000000001E-2</v>
      </c>
      <c r="AG10" s="71">
        <v>7.2162039999999997E-2</v>
      </c>
      <c r="AH10" s="71">
        <v>7.4973168000000007E-2</v>
      </c>
      <c r="AI10" s="71">
        <v>8.7057955000000006E-2</v>
      </c>
      <c r="AJ10" s="71">
        <v>9.7843975999999999E-2</v>
      </c>
      <c r="AK10" s="71">
        <v>0.10213537</v>
      </c>
      <c r="AL10" s="71">
        <v>0.105623389</v>
      </c>
      <c r="AM10" s="71">
        <v>0.107270833</v>
      </c>
      <c r="AN10" s="71">
        <v>0.15313433800000001</v>
      </c>
      <c r="AO10" s="71">
        <v>-4.5586847E-2</v>
      </c>
      <c r="AP10" s="71">
        <v>0.82664463499999996</v>
      </c>
    </row>
    <row r="11" spans="1:42" x14ac:dyDescent="0.2">
      <c r="A11" t="s">
        <v>178</v>
      </c>
      <c r="B11" t="s">
        <v>129</v>
      </c>
      <c r="C11" t="s">
        <v>137</v>
      </c>
      <c r="D11" t="s">
        <v>136</v>
      </c>
      <c r="E11" s="71">
        <v>5.2312016000000003E-2</v>
      </c>
      <c r="F11" s="71">
        <v>5.416286E-2</v>
      </c>
      <c r="G11" s="71">
        <v>5.8309078E-2</v>
      </c>
      <c r="H11" s="71">
        <v>6.3792706000000005E-2</v>
      </c>
      <c r="I11" s="71">
        <v>6.7370533999999996E-2</v>
      </c>
      <c r="J11" s="71">
        <v>6.9751740000000007E-2</v>
      </c>
      <c r="K11" s="71">
        <v>7.1409941000000005E-2</v>
      </c>
      <c r="L11" s="71">
        <v>-1.0088370000000001E-3</v>
      </c>
      <c r="M11" s="71">
        <v>4.8175659999999997E-3</v>
      </c>
      <c r="N11" s="71">
        <v>9.7142010000000004E-3</v>
      </c>
      <c r="O11" s="71">
        <v>1.3002133000000001E-2</v>
      </c>
      <c r="P11" s="71">
        <v>1.8072883000000001E-2</v>
      </c>
      <c r="Q11" s="71">
        <v>2.2135195E-2</v>
      </c>
      <c r="R11" s="71">
        <v>2.5794443E-2</v>
      </c>
      <c r="S11" s="71">
        <v>0.108405475</v>
      </c>
      <c r="T11" s="71">
        <v>0.105941354</v>
      </c>
      <c r="U11" s="71">
        <v>0.10959274200000001</v>
      </c>
      <c r="V11" s="71">
        <v>0.116690349</v>
      </c>
      <c r="W11" s="71">
        <v>0.118918608</v>
      </c>
      <c r="X11" s="71">
        <v>0.119301108</v>
      </c>
      <c r="Y11" s="71">
        <v>0.11918150800000001</v>
      </c>
      <c r="Z11" s="71">
        <v>2.6563396E-2</v>
      </c>
      <c r="AA11" s="71">
        <v>2.6641985999999999E-2</v>
      </c>
      <c r="AB11" s="71">
        <v>2.2893401000000001E-2</v>
      </c>
      <c r="AC11" s="71">
        <v>2.2794617999999999E-2</v>
      </c>
      <c r="AD11" s="71">
        <v>2.5004710999999999E-2</v>
      </c>
      <c r="AE11" s="71">
        <v>2.8835659E-2</v>
      </c>
      <c r="AF11" s="71">
        <v>3.1325603E-2</v>
      </c>
      <c r="AG11" s="71">
        <v>7.8706607999999997E-2</v>
      </c>
      <c r="AH11" s="71">
        <v>8.2421564000000003E-2</v>
      </c>
      <c r="AI11" s="71">
        <v>9.4951187000000006E-2</v>
      </c>
      <c r="AJ11" s="71">
        <v>0.106434459</v>
      </c>
      <c r="AK11" s="71">
        <v>0.111487514</v>
      </c>
      <c r="AL11" s="71">
        <v>0.11229512899999999</v>
      </c>
      <c r="AM11" s="71">
        <v>0.113052414</v>
      </c>
      <c r="AN11" s="71">
        <v>0.14842106899999999</v>
      </c>
      <c r="AO11" s="71">
        <v>-0.17668622</v>
      </c>
      <c r="AP11" s="71">
        <v>0.83731595599999997</v>
      </c>
    </row>
    <row r="12" spans="1:42" x14ac:dyDescent="0.2">
      <c r="A12" t="s">
        <v>191</v>
      </c>
      <c r="B12" t="s">
        <v>129</v>
      </c>
      <c r="C12" t="s">
        <v>137</v>
      </c>
      <c r="D12" t="s">
        <v>136</v>
      </c>
      <c r="E12" s="71">
        <v>7.3483825000000003E-2</v>
      </c>
      <c r="F12" s="71">
        <v>7.4812055000000002E-2</v>
      </c>
      <c r="G12" s="71">
        <v>7.8287005000000007E-2</v>
      </c>
      <c r="H12" s="71">
        <v>8.3685994E-2</v>
      </c>
      <c r="I12" s="71">
        <v>8.7610006000000004E-2</v>
      </c>
      <c r="J12" s="71">
        <v>9.0352654000000004E-2</v>
      </c>
      <c r="K12" s="71">
        <v>9.2304468000000001E-2</v>
      </c>
      <c r="L12" s="71">
        <v>1.6700207000000002E-2</v>
      </c>
      <c r="M12" s="71">
        <v>2.3629826999999999E-2</v>
      </c>
      <c r="N12" s="71">
        <v>2.8497264000000001E-2</v>
      </c>
      <c r="O12" s="71">
        <v>3.3687428999999998E-2</v>
      </c>
      <c r="P12" s="71">
        <v>3.8464064999999999E-2</v>
      </c>
      <c r="Q12" s="71">
        <v>4.1894885999999999E-2</v>
      </c>
      <c r="R12" s="71">
        <v>4.5653038999999999E-2</v>
      </c>
      <c r="S12" s="71">
        <v>0.133535393</v>
      </c>
      <c r="T12" s="71">
        <v>0.129232825</v>
      </c>
      <c r="U12" s="71">
        <v>0.13122784300000001</v>
      </c>
      <c r="V12" s="71">
        <v>0.13550752199999999</v>
      </c>
      <c r="W12" s="71">
        <v>0.139319418</v>
      </c>
      <c r="X12" s="71">
        <v>0.140272023</v>
      </c>
      <c r="Y12" s="71">
        <v>0.14089649600000001</v>
      </c>
      <c r="Z12" s="71">
        <v>4.4982174E-2</v>
      </c>
      <c r="AA12" s="71">
        <v>4.4878635E-2</v>
      </c>
      <c r="AB12" s="71">
        <v>4.0644490999999998E-2</v>
      </c>
      <c r="AC12" s="71">
        <v>4.0785312999999997E-2</v>
      </c>
      <c r="AD12" s="71">
        <v>4.3233102000000002E-2</v>
      </c>
      <c r="AE12" s="71">
        <v>4.5915724999999998E-2</v>
      </c>
      <c r="AF12" s="71">
        <v>4.9465690999999999E-2</v>
      </c>
      <c r="AG12" s="71">
        <v>0.102762874</v>
      </c>
      <c r="AH12" s="71">
        <v>0.105603058</v>
      </c>
      <c r="AI12" s="71">
        <v>0.11729113200000001</v>
      </c>
      <c r="AJ12" s="71">
        <v>0.12835503200000001</v>
      </c>
      <c r="AK12" s="71">
        <v>0.133874723</v>
      </c>
      <c r="AL12" s="71">
        <v>0.136677348</v>
      </c>
      <c r="AM12" s="71">
        <v>0.136891871</v>
      </c>
      <c r="AN12" s="71">
        <v>0.157400968</v>
      </c>
      <c r="AO12" s="71">
        <v>-1.6392612000000001E-2</v>
      </c>
      <c r="AP12" s="71">
        <v>0.84077736000000003</v>
      </c>
    </row>
    <row r="13" spans="1:42" x14ac:dyDescent="0.2">
      <c r="A13" t="s">
        <v>254</v>
      </c>
      <c r="B13" t="s">
        <v>129</v>
      </c>
      <c r="C13" t="s">
        <v>137</v>
      </c>
      <c r="D13" t="s">
        <v>136</v>
      </c>
      <c r="E13" s="71">
        <v>5.0268887999999998E-2</v>
      </c>
      <c r="F13" s="71">
        <v>5.2654623999999997E-2</v>
      </c>
      <c r="G13" s="71">
        <v>5.8109521999999997E-2</v>
      </c>
      <c r="H13" s="71">
        <v>6.5320134000000002E-2</v>
      </c>
      <c r="I13" s="71">
        <v>6.9920063000000005E-2</v>
      </c>
      <c r="J13" s="71">
        <v>7.2915673E-2</v>
      </c>
      <c r="K13" s="71">
        <v>7.4973226000000004E-2</v>
      </c>
      <c r="L13" s="71">
        <v>-1.3462791999999999E-2</v>
      </c>
      <c r="M13" s="71">
        <v>-4.0916199999999998E-3</v>
      </c>
      <c r="N13" s="71">
        <v>2.5327069999999999E-3</v>
      </c>
      <c r="O13" s="71">
        <v>1.0754658E-2</v>
      </c>
      <c r="P13" s="71">
        <v>1.7160661000000001E-2</v>
      </c>
      <c r="Q13" s="71">
        <v>2.1716724999999999E-2</v>
      </c>
      <c r="R13" s="71">
        <v>2.6089884000000001E-2</v>
      </c>
      <c r="S13" s="71">
        <v>0.11784583</v>
      </c>
      <c r="T13" s="71">
        <v>0.113150235</v>
      </c>
      <c r="U13" s="71">
        <v>0.115567792</v>
      </c>
      <c r="V13" s="71">
        <v>0.12292167900000001</v>
      </c>
      <c r="W13" s="71">
        <v>0.126448636</v>
      </c>
      <c r="X13" s="71">
        <v>0.12645679800000001</v>
      </c>
      <c r="Y13" s="71">
        <v>0.12572317999999999</v>
      </c>
      <c r="Z13" s="71">
        <v>2.3680209000000001E-2</v>
      </c>
      <c r="AA13" s="71">
        <v>2.3569909E-2</v>
      </c>
      <c r="AB13" s="71">
        <v>2.1851525E-2</v>
      </c>
      <c r="AC13" s="71">
        <v>2.2691479000000001E-2</v>
      </c>
      <c r="AD13" s="71">
        <v>2.5801206E-2</v>
      </c>
      <c r="AE13" s="71">
        <v>2.9656238000000001E-2</v>
      </c>
      <c r="AF13" s="71">
        <v>3.5441444000000003E-2</v>
      </c>
      <c r="AG13" s="71">
        <v>7.7548210000000006E-2</v>
      </c>
      <c r="AH13" s="71">
        <v>8.2565941000000004E-2</v>
      </c>
      <c r="AI13" s="71">
        <v>9.5653986999999996E-2</v>
      </c>
      <c r="AJ13" s="71">
        <v>0.10972578500000001</v>
      </c>
      <c r="AK13" s="71">
        <v>0.115936677</v>
      </c>
      <c r="AL13" s="71">
        <v>0.117992705</v>
      </c>
      <c r="AM13" s="71">
        <v>0.116014266</v>
      </c>
      <c r="AN13" s="71">
        <v>0.18687184700000001</v>
      </c>
      <c r="AO13" s="71">
        <v>-0.12285405200000001</v>
      </c>
      <c r="AP13" s="71">
        <v>0.88679754</v>
      </c>
    </row>
    <row r="14" spans="1:42" x14ac:dyDescent="0.2">
      <c r="A14" t="s">
        <v>103</v>
      </c>
      <c r="B14" t="s">
        <v>129</v>
      </c>
      <c r="C14" t="s">
        <v>137</v>
      </c>
      <c r="D14" t="s">
        <v>136</v>
      </c>
      <c r="E14" s="71">
        <v>8.4524750999999995E-2</v>
      </c>
      <c r="F14" s="71">
        <v>8.5547685999999998E-2</v>
      </c>
      <c r="G14" s="71">
        <v>8.8188291000000002E-2</v>
      </c>
      <c r="H14" s="71">
        <v>9.2249990000000004E-2</v>
      </c>
      <c r="I14" s="71">
        <v>9.5192671000000006E-2</v>
      </c>
      <c r="J14" s="71">
        <v>9.7250222999999997E-2</v>
      </c>
      <c r="K14" s="71">
        <v>9.8715782000000002E-2</v>
      </c>
      <c r="L14" s="71">
        <v>1.9044513999999998E-2</v>
      </c>
      <c r="M14" s="71">
        <v>2.5760221E-2</v>
      </c>
      <c r="N14" s="71">
        <v>3.1532619999999997E-2</v>
      </c>
      <c r="O14" s="71">
        <v>3.7755403999999999E-2</v>
      </c>
      <c r="P14" s="71">
        <v>4.1572639000000002E-2</v>
      </c>
      <c r="Q14" s="71">
        <v>4.7443313000000001E-2</v>
      </c>
      <c r="R14" s="71">
        <v>5.0077127999999999E-2</v>
      </c>
      <c r="S14" s="71">
        <v>0.15554462099999999</v>
      </c>
      <c r="T14" s="71">
        <v>0.148634665</v>
      </c>
      <c r="U14" s="71">
        <v>0.147340057</v>
      </c>
      <c r="V14" s="71">
        <v>0.149987595</v>
      </c>
      <c r="W14" s="71">
        <v>0.151073862</v>
      </c>
      <c r="X14" s="71">
        <v>0.14969901099999999</v>
      </c>
      <c r="Y14" s="71">
        <v>0.14914138900000001</v>
      </c>
      <c r="Z14" s="71">
        <v>5.0966830999999997E-2</v>
      </c>
      <c r="AA14" s="71">
        <v>5.0367574999999998E-2</v>
      </c>
      <c r="AB14" s="71">
        <v>4.8818510000000002E-2</v>
      </c>
      <c r="AC14" s="71">
        <v>4.6190420000000003E-2</v>
      </c>
      <c r="AD14" s="71">
        <v>4.9659514000000002E-2</v>
      </c>
      <c r="AE14" s="71">
        <v>5.2326646999999997E-2</v>
      </c>
      <c r="AF14" s="71">
        <v>5.7461157999999998E-2</v>
      </c>
      <c r="AG14" s="71">
        <v>0.119154198</v>
      </c>
      <c r="AH14" s="71">
        <v>0.121906282</v>
      </c>
      <c r="AI14" s="71">
        <v>0.12903598999999999</v>
      </c>
      <c r="AJ14" s="71">
        <v>0.14033754000000001</v>
      </c>
      <c r="AK14" s="71">
        <v>0.14270116999999999</v>
      </c>
      <c r="AL14" s="71">
        <v>0.144091516</v>
      </c>
      <c r="AM14" s="71">
        <v>0.14157989200000001</v>
      </c>
      <c r="AN14" s="71">
        <v>0.17985615799999999</v>
      </c>
      <c r="AO14" s="71">
        <v>-6.5551458000000007E-2</v>
      </c>
      <c r="AP14" s="71">
        <v>0.883263994</v>
      </c>
    </row>
    <row r="15" spans="1:42" x14ac:dyDescent="0.2">
      <c r="A15" t="s">
        <v>214</v>
      </c>
      <c r="B15" t="s">
        <v>129</v>
      </c>
      <c r="C15" t="s">
        <v>137</v>
      </c>
      <c r="D15" t="s">
        <v>136</v>
      </c>
      <c r="E15" s="71">
        <v>6.5923095000000001E-2</v>
      </c>
      <c r="F15" s="71">
        <v>6.6303134E-2</v>
      </c>
      <c r="G15" s="71">
        <v>6.7256926999999994E-2</v>
      </c>
      <c r="H15" s="71">
        <v>6.8697332999999999E-2</v>
      </c>
      <c r="I15" s="71">
        <v>6.9744824999999996E-2</v>
      </c>
      <c r="J15" s="71">
        <v>7.0488930000000005E-2</v>
      </c>
      <c r="K15" s="71">
        <v>7.1027993999999997E-2</v>
      </c>
      <c r="L15" s="71">
        <v>1.3394959999999999E-3</v>
      </c>
      <c r="M15" s="71">
        <v>7.7682039999999999E-3</v>
      </c>
      <c r="N15" s="71">
        <v>1.2026329000000001E-2</v>
      </c>
      <c r="O15" s="71">
        <v>1.4794348000000001E-2</v>
      </c>
      <c r="P15" s="71">
        <v>1.7134969999999999E-2</v>
      </c>
      <c r="Q15" s="71">
        <v>2.051532E-2</v>
      </c>
      <c r="R15" s="71">
        <v>2.2469513E-2</v>
      </c>
      <c r="S15" s="71">
        <v>0.13483846699999999</v>
      </c>
      <c r="T15" s="71">
        <v>0.12697951099999999</v>
      </c>
      <c r="U15" s="71">
        <v>0.12579649400000001</v>
      </c>
      <c r="V15" s="71">
        <v>0.12566284</v>
      </c>
      <c r="W15" s="71">
        <v>0.12533264399999999</v>
      </c>
      <c r="X15" s="71">
        <v>0.123423385</v>
      </c>
      <c r="Y15" s="71">
        <v>0.121500016</v>
      </c>
      <c r="Z15" s="71">
        <v>4.1389885000000001E-2</v>
      </c>
      <c r="AA15" s="71">
        <v>3.7623163000000001E-2</v>
      </c>
      <c r="AB15" s="71">
        <v>3.0084085999999999E-2</v>
      </c>
      <c r="AC15" s="71">
        <v>2.4972376000000001E-2</v>
      </c>
      <c r="AD15" s="71">
        <v>2.5415044000000001E-2</v>
      </c>
      <c r="AE15" s="71">
        <v>2.7337605000000001E-2</v>
      </c>
      <c r="AF15" s="71">
        <v>2.9505687999999999E-2</v>
      </c>
      <c r="AG15" s="71">
        <v>9.0950485999999997E-2</v>
      </c>
      <c r="AH15" s="71">
        <v>9.5696384999999995E-2</v>
      </c>
      <c r="AI15" s="71">
        <v>0.105702876</v>
      </c>
      <c r="AJ15" s="71">
        <v>0.114235534</v>
      </c>
      <c r="AK15" s="71">
        <v>0.11595011400000001</v>
      </c>
      <c r="AL15" s="71">
        <v>0.11541964</v>
      </c>
      <c r="AM15" s="71">
        <v>0.114197332</v>
      </c>
      <c r="AN15" s="71">
        <v>0.19173685700000001</v>
      </c>
      <c r="AO15" s="71">
        <v>-5.8483648999999999E-2</v>
      </c>
      <c r="AP15" s="71">
        <v>0.89134275100000004</v>
      </c>
    </row>
    <row r="16" spans="1:42" x14ac:dyDescent="0.2">
      <c r="A16" t="s">
        <v>164</v>
      </c>
      <c r="B16" t="s">
        <v>129</v>
      </c>
      <c r="C16" t="s">
        <v>137</v>
      </c>
      <c r="D16" t="s">
        <v>136</v>
      </c>
      <c r="E16" s="71">
        <v>4.4688820999999997E-2</v>
      </c>
      <c r="F16" s="71">
        <v>4.6111702999999997E-2</v>
      </c>
      <c r="G16" s="71">
        <v>4.9630880000000002E-2</v>
      </c>
      <c r="H16" s="71">
        <v>5.4833411999999998E-2</v>
      </c>
      <c r="I16" s="71">
        <v>5.8534861000000001E-2</v>
      </c>
      <c r="J16" s="71">
        <v>6.1123967000000001E-2</v>
      </c>
      <c r="K16" s="71">
        <v>6.2980651999999998E-2</v>
      </c>
      <c r="L16" s="71">
        <v>-1.033717E-2</v>
      </c>
      <c r="M16" s="71">
        <v>-3.1164949999999999E-3</v>
      </c>
      <c r="N16" s="71">
        <v>4.02688E-4</v>
      </c>
      <c r="O16" s="71">
        <v>5.7454089999999999E-3</v>
      </c>
      <c r="P16" s="71">
        <v>9.1194139999999993E-3</v>
      </c>
      <c r="Q16" s="71">
        <v>1.3970976E-2</v>
      </c>
      <c r="R16" s="71">
        <v>1.7025021000000001E-2</v>
      </c>
      <c r="S16" s="71">
        <v>0.103021522</v>
      </c>
      <c r="T16" s="71">
        <v>9.8237006000000002E-2</v>
      </c>
      <c r="U16" s="71">
        <v>0.101444991</v>
      </c>
      <c r="V16" s="71">
        <v>0.107669538</v>
      </c>
      <c r="W16" s="71">
        <v>0.110431611</v>
      </c>
      <c r="X16" s="71">
        <v>0.111097269</v>
      </c>
      <c r="Y16" s="71">
        <v>0.110602721</v>
      </c>
      <c r="Z16" s="71">
        <v>2.0986660000000001E-2</v>
      </c>
      <c r="AA16" s="71">
        <v>1.8539190000000001E-2</v>
      </c>
      <c r="AB16" s="71">
        <v>1.4068149E-2</v>
      </c>
      <c r="AC16" s="71">
        <v>1.1376259E-2</v>
      </c>
      <c r="AD16" s="71">
        <v>1.5285867E-2</v>
      </c>
      <c r="AE16" s="71">
        <v>2.0391660999999998E-2</v>
      </c>
      <c r="AF16" s="71">
        <v>2.4878556999999999E-2</v>
      </c>
      <c r="AG16" s="71">
        <v>6.8859078000000004E-2</v>
      </c>
      <c r="AH16" s="71">
        <v>7.4352769999999999E-2</v>
      </c>
      <c r="AI16" s="71">
        <v>8.6373612000000002E-2</v>
      </c>
      <c r="AJ16" s="71">
        <v>0.100106299</v>
      </c>
      <c r="AK16" s="71">
        <v>0.10358558800000001</v>
      </c>
      <c r="AL16" s="71">
        <v>0.10344945</v>
      </c>
      <c r="AM16" s="71">
        <v>0.102471777</v>
      </c>
      <c r="AN16" s="71">
        <v>0.16578140299999999</v>
      </c>
      <c r="AO16" s="71">
        <v>-0.12177724700000001</v>
      </c>
      <c r="AP16" s="71">
        <v>0.85716937199999998</v>
      </c>
    </row>
    <row r="17" spans="1:42" x14ac:dyDescent="0.2">
      <c r="A17" t="s">
        <v>345</v>
      </c>
      <c r="B17" t="s">
        <v>129</v>
      </c>
      <c r="C17" t="s">
        <v>137</v>
      </c>
      <c r="D17" t="s">
        <v>136</v>
      </c>
      <c r="E17" s="71">
        <v>3.9584041E-2</v>
      </c>
      <c r="F17" s="71">
        <v>4.2825818000000002E-2</v>
      </c>
      <c r="G17" s="71">
        <v>5.0595044999999998E-2</v>
      </c>
      <c r="H17" s="71">
        <v>6.1654805999999999E-2</v>
      </c>
      <c r="I17" s="71">
        <v>6.9223761999999994E-2</v>
      </c>
      <c r="J17" s="71">
        <v>7.4366570000000007E-2</v>
      </c>
      <c r="K17" s="71">
        <v>7.7981233999999996E-2</v>
      </c>
      <c r="L17" s="71">
        <v>-1.7763575E-2</v>
      </c>
      <c r="M17" s="71">
        <v>-8.6635449999999999E-3</v>
      </c>
      <c r="N17" s="71">
        <v>-1.3205020000000001E-3</v>
      </c>
      <c r="O17" s="71">
        <v>8.7668179999999991E-3</v>
      </c>
      <c r="P17" s="71">
        <v>1.8863116999999999E-2</v>
      </c>
      <c r="Q17" s="71">
        <v>2.5660399E-2</v>
      </c>
      <c r="R17" s="71">
        <v>3.1590203999999997E-2</v>
      </c>
      <c r="S17" s="71">
        <v>0.100934517</v>
      </c>
      <c r="T17" s="71">
        <v>9.7619418999999999E-2</v>
      </c>
      <c r="U17" s="71">
        <v>0.10521180099999999</v>
      </c>
      <c r="V17" s="71">
        <v>0.11645330399999999</v>
      </c>
      <c r="W17" s="71">
        <v>0.122336051</v>
      </c>
      <c r="X17" s="71">
        <v>0.125835102</v>
      </c>
      <c r="Y17" s="71">
        <v>0.126999272</v>
      </c>
      <c r="Z17" s="71">
        <v>1.4752345E-2</v>
      </c>
      <c r="AA17" s="71">
        <v>1.5657456E-2</v>
      </c>
      <c r="AB17" s="71">
        <v>1.6292832E-2</v>
      </c>
      <c r="AC17" s="71">
        <v>2.1029925000000001E-2</v>
      </c>
      <c r="AD17" s="71">
        <v>2.6119535999999999E-2</v>
      </c>
      <c r="AE17" s="71">
        <v>3.1047083999999999E-2</v>
      </c>
      <c r="AF17" s="71">
        <v>3.6303863999999998E-2</v>
      </c>
      <c r="AG17" s="71">
        <v>6.4941272999999994E-2</v>
      </c>
      <c r="AH17" s="71">
        <v>7.0643260999999999E-2</v>
      </c>
      <c r="AI17" s="71">
        <v>8.5987729999999998E-2</v>
      </c>
      <c r="AJ17" s="71">
        <v>0.10384435</v>
      </c>
      <c r="AK17" s="71">
        <v>0.11409799</v>
      </c>
      <c r="AL17" s="71">
        <v>0.119472805</v>
      </c>
      <c r="AM17" s="71">
        <v>0.12130694</v>
      </c>
      <c r="AN17" s="71">
        <v>0.17090721</v>
      </c>
      <c r="AO17" s="71">
        <v>-9.0573697999999994E-2</v>
      </c>
      <c r="AP17" s="71">
        <v>0.86482142100000003</v>
      </c>
    </row>
    <row r="18" spans="1:42" x14ac:dyDescent="0.2">
      <c r="A18" t="s">
        <v>240</v>
      </c>
      <c r="B18" t="s">
        <v>129</v>
      </c>
      <c r="C18" t="s">
        <v>384</v>
      </c>
      <c r="D18" t="s">
        <v>385</v>
      </c>
      <c r="E18" s="71">
        <v>4.8594831999999998E-2</v>
      </c>
      <c r="F18" s="71">
        <v>4.9443363999999997E-2</v>
      </c>
      <c r="G18" s="71">
        <v>5.1488757000000003E-2</v>
      </c>
      <c r="H18" s="71">
        <v>5.4392575999999998E-2</v>
      </c>
      <c r="I18" s="71">
        <v>5.6369543000000001E-2</v>
      </c>
      <c r="J18" s="71">
        <v>5.7707428999999998E-2</v>
      </c>
      <c r="K18" s="71">
        <v>5.8645128999999997E-2</v>
      </c>
      <c r="L18" s="71">
        <v>-8.6589479999999996E-3</v>
      </c>
      <c r="M18" s="71">
        <v>-3.0878730000000001E-3</v>
      </c>
      <c r="N18" s="71">
        <v>-2.247799E-3</v>
      </c>
      <c r="O18" s="71">
        <v>-8.7725399999999995E-4</v>
      </c>
      <c r="P18" s="71">
        <v>1.8662920000000001E-3</v>
      </c>
      <c r="Q18" s="71">
        <v>3.7566560000000001E-3</v>
      </c>
      <c r="R18" s="71">
        <v>6.6498249999999998E-3</v>
      </c>
      <c r="S18" s="71">
        <v>0.10966324</v>
      </c>
      <c r="T18" s="71">
        <v>0.104646425</v>
      </c>
      <c r="U18" s="71">
        <v>0.108042129</v>
      </c>
      <c r="V18" s="71">
        <v>0.112909073</v>
      </c>
      <c r="W18" s="71">
        <v>0.11451739399999999</v>
      </c>
      <c r="X18" s="71">
        <v>0.114527948</v>
      </c>
      <c r="Y18" s="71">
        <v>0.113650237</v>
      </c>
      <c r="Z18" s="71">
        <v>2.5110864E-2</v>
      </c>
      <c r="AA18" s="71">
        <v>2.1252048999999999E-2</v>
      </c>
      <c r="AB18" s="71">
        <v>1.3821316E-2</v>
      </c>
      <c r="AC18" s="71">
        <v>4.7897249999999999E-3</v>
      </c>
      <c r="AD18" s="71">
        <v>4.9142270000000002E-3</v>
      </c>
      <c r="AE18" s="71">
        <v>3.7722049999999998E-3</v>
      </c>
      <c r="AF18" s="71">
        <v>7.9445090000000006E-3</v>
      </c>
      <c r="AG18" s="71">
        <v>7.2616641999999995E-2</v>
      </c>
      <c r="AH18" s="71">
        <v>7.841294E-2</v>
      </c>
      <c r="AI18" s="71">
        <v>9.0555496999999999E-2</v>
      </c>
      <c r="AJ18" s="71">
        <v>0.106443914</v>
      </c>
      <c r="AK18" s="71">
        <v>0.110459558</v>
      </c>
      <c r="AL18" s="71">
        <v>0.11454083800000001</v>
      </c>
      <c r="AM18" s="71">
        <v>0.111896121</v>
      </c>
      <c r="AN18" s="71">
        <v>0.168229289</v>
      </c>
      <c r="AO18" s="71">
        <v>-0.22567779600000001</v>
      </c>
      <c r="AP18" s="71">
        <v>0.86327081800000005</v>
      </c>
    </row>
    <row r="19" spans="1:42" s="77" customFormat="1" x14ac:dyDescent="0.2">
      <c r="A19" s="77" t="s">
        <v>138</v>
      </c>
      <c r="B19" s="77" t="s">
        <v>129</v>
      </c>
      <c r="C19" s="77" t="s">
        <v>382</v>
      </c>
      <c r="D19" s="77" t="s">
        <v>383</v>
      </c>
      <c r="E19" s="80">
        <v>4.3971180999999998E-2</v>
      </c>
      <c r="F19" s="80">
        <v>4.6304106999999997E-2</v>
      </c>
      <c r="G19" s="80">
        <v>5.1884890000000003E-2</v>
      </c>
      <c r="H19" s="80">
        <v>5.9703827000000001E-2</v>
      </c>
      <c r="I19" s="80">
        <v>6.4931631000000004E-2</v>
      </c>
      <c r="J19" s="80">
        <v>6.8409084999999994E-2</v>
      </c>
      <c r="K19" s="80">
        <v>7.0811629000000001E-2</v>
      </c>
      <c r="L19" s="80">
        <v>-1.6466043E-2</v>
      </c>
      <c r="M19" s="80">
        <v>-7.4284620000000003E-3</v>
      </c>
      <c r="N19" s="80">
        <v>4.2401419999999997E-3</v>
      </c>
      <c r="O19" s="80">
        <v>1.6963664999999999E-2</v>
      </c>
      <c r="P19" s="80">
        <v>2.5376981999999999E-2</v>
      </c>
      <c r="Q19" s="80">
        <v>3.1602310000000002E-2</v>
      </c>
      <c r="R19" s="80">
        <v>3.5592301E-2</v>
      </c>
      <c r="S19" s="80">
        <v>0.107824817</v>
      </c>
      <c r="T19" s="80">
        <v>0.10270491599999999</v>
      </c>
      <c r="U19" s="80">
        <v>0.102472495</v>
      </c>
      <c r="V19" s="80">
        <v>0.103565848</v>
      </c>
      <c r="W19" s="80">
        <v>0.10548421400000001</v>
      </c>
      <c r="X19" s="80">
        <v>0.107436399</v>
      </c>
      <c r="Y19" s="80">
        <v>0.107561277</v>
      </c>
      <c r="Z19" s="80">
        <v>2.0528316000000001E-2</v>
      </c>
      <c r="AA19" s="80">
        <v>2.1377356E-2</v>
      </c>
      <c r="AB19" s="80">
        <v>2.5484388E-2</v>
      </c>
      <c r="AC19" s="80">
        <v>3.1203531E-2</v>
      </c>
      <c r="AD19" s="80">
        <v>3.6332758999999999E-2</v>
      </c>
      <c r="AE19" s="80">
        <v>4.0686621999999999E-2</v>
      </c>
      <c r="AF19" s="80">
        <v>4.3386507999999997E-2</v>
      </c>
      <c r="AG19" s="80">
        <v>6.7952286000000001E-2</v>
      </c>
      <c r="AH19" s="80">
        <v>7.1839108999999998E-2</v>
      </c>
      <c r="AI19" s="80">
        <v>7.8964877000000003E-2</v>
      </c>
      <c r="AJ19" s="80">
        <v>8.8991763000000002E-2</v>
      </c>
      <c r="AK19" s="80">
        <v>9.4319686999999999E-2</v>
      </c>
      <c r="AL19" s="80">
        <v>9.6869998999999998E-2</v>
      </c>
      <c r="AM19" s="80">
        <v>9.8957509999999999E-2</v>
      </c>
      <c r="AN19" s="80">
        <v>0.186627294</v>
      </c>
      <c r="AO19" s="80">
        <v>-5.1734540000000001E-3</v>
      </c>
      <c r="AP19" s="80">
        <v>0.87540646300000002</v>
      </c>
    </row>
    <row r="20" spans="1:42" x14ac:dyDescent="0.2">
      <c r="A20" t="s">
        <v>240</v>
      </c>
      <c r="B20" t="s">
        <v>129</v>
      </c>
      <c r="C20" t="s">
        <v>382</v>
      </c>
      <c r="D20" t="s">
        <v>383</v>
      </c>
      <c r="E20" s="71">
        <v>2.9562234999999999E-2</v>
      </c>
      <c r="F20" s="71">
        <v>3.1969070000000002E-2</v>
      </c>
      <c r="G20" s="71">
        <v>3.7785052999999999E-2</v>
      </c>
      <c r="H20" s="71">
        <v>4.6079278000000001E-2</v>
      </c>
      <c r="I20" s="71">
        <v>5.1751375000000002E-2</v>
      </c>
      <c r="J20" s="71">
        <v>5.5601238999999997E-2</v>
      </c>
      <c r="K20" s="71">
        <v>5.8305025000000003E-2</v>
      </c>
      <c r="L20" s="71">
        <v>-3.2203047999999998E-2</v>
      </c>
      <c r="M20" s="71">
        <v>-2.2119776000000001E-2</v>
      </c>
      <c r="N20" s="71">
        <v>-9.6732899999999993E-3</v>
      </c>
      <c r="O20" s="71">
        <v>2.2924030000000001E-3</v>
      </c>
      <c r="P20" s="71">
        <v>1.1991824999999999E-2</v>
      </c>
      <c r="Q20" s="71">
        <v>1.6980275999999999E-2</v>
      </c>
      <c r="R20" s="71">
        <v>2.1754051999999999E-2</v>
      </c>
      <c r="S20" s="71">
        <v>9.5280187000000002E-2</v>
      </c>
      <c r="T20" s="71">
        <v>8.8971456000000004E-2</v>
      </c>
      <c r="U20" s="71">
        <v>8.8543563000000006E-2</v>
      </c>
      <c r="V20" s="71">
        <v>9.124852E-2</v>
      </c>
      <c r="W20" s="71">
        <v>9.3883018999999998E-2</v>
      </c>
      <c r="X20" s="71">
        <v>9.5909835999999998E-2</v>
      </c>
      <c r="Y20" s="71">
        <v>9.6812538000000004E-2</v>
      </c>
      <c r="Z20" s="71">
        <v>4.3417960000000002E-3</v>
      </c>
      <c r="AA20" s="71">
        <v>6.7171080000000003E-3</v>
      </c>
      <c r="AB20" s="71">
        <v>1.2321459E-2</v>
      </c>
      <c r="AC20" s="71">
        <v>1.7434304000000001E-2</v>
      </c>
      <c r="AD20" s="71">
        <v>2.3942488000000001E-2</v>
      </c>
      <c r="AE20" s="71">
        <v>2.7769782E-2</v>
      </c>
      <c r="AF20" s="71">
        <v>3.0682998E-2</v>
      </c>
      <c r="AG20" s="71">
        <v>5.5415884999999998E-2</v>
      </c>
      <c r="AH20" s="71">
        <v>5.7854476000000002E-2</v>
      </c>
      <c r="AI20" s="71">
        <v>6.3889225999999993E-2</v>
      </c>
      <c r="AJ20" s="71">
        <v>7.5530805000000006E-2</v>
      </c>
      <c r="AK20" s="71">
        <v>8.0315424999999996E-2</v>
      </c>
      <c r="AL20" s="71">
        <v>8.4186351000000006E-2</v>
      </c>
      <c r="AM20" s="71">
        <v>8.6667288999999995E-2</v>
      </c>
      <c r="AN20" s="71">
        <v>0.18472766500000001</v>
      </c>
      <c r="AO20" s="71">
        <v>-0.24101652000000001</v>
      </c>
      <c r="AP20" s="71">
        <v>0.86985461399999997</v>
      </c>
    </row>
    <row r="21" spans="1:42" x14ac:dyDescent="0.2">
      <c r="A21" t="s">
        <v>224</v>
      </c>
      <c r="B21" t="s">
        <v>129</v>
      </c>
      <c r="C21" t="s">
        <v>382</v>
      </c>
      <c r="D21" t="s">
        <v>383</v>
      </c>
      <c r="E21" s="71">
        <v>3.3749223000000002E-2</v>
      </c>
      <c r="F21" s="71">
        <v>3.6248087999999998E-2</v>
      </c>
      <c r="G21" s="71">
        <v>4.2172313000000003E-2</v>
      </c>
      <c r="H21" s="71">
        <v>5.0339222000000003E-2</v>
      </c>
      <c r="I21" s="71">
        <v>5.5682302000000003E-2</v>
      </c>
      <c r="J21" s="71">
        <v>5.9163808999999998E-2</v>
      </c>
      <c r="K21" s="71">
        <v>6.1527251999999998E-2</v>
      </c>
      <c r="L21" s="71">
        <v>-2.4921458E-2</v>
      </c>
      <c r="M21" s="71">
        <v>-1.4570586999999999E-2</v>
      </c>
      <c r="N21" s="71">
        <v>-3.6579780000000001E-3</v>
      </c>
      <c r="O21" s="71">
        <v>8.9958710000000008E-3</v>
      </c>
      <c r="P21" s="71">
        <v>1.7125363000000001E-2</v>
      </c>
      <c r="Q21" s="71">
        <v>2.3121363999999998E-2</v>
      </c>
      <c r="R21" s="71">
        <v>2.8390291000000002E-2</v>
      </c>
      <c r="S21" s="71">
        <v>9.6719318999999998E-2</v>
      </c>
      <c r="T21" s="71">
        <v>9.0977352999999997E-2</v>
      </c>
      <c r="U21" s="71">
        <v>9.019162E-2</v>
      </c>
      <c r="V21" s="71">
        <v>9.2913857000000002E-2</v>
      </c>
      <c r="W21" s="71">
        <v>9.5879660000000005E-2</v>
      </c>
      <c r="X21" s="71">
        <v>9.6231618000000005E-2</v>
      </c>
      <c r="Y21" s="71">
        <v>9.5865558000000003E-2</v>
      </c>
      <c r="Z21" s="71">
        <v>9.1289700000000001E-3</v>
      </c>
      <c r="AA21" s="71">
        <v>1.1301001E-2</v>
      </c>
      <c r="AB21" s="71">
        <v>1.5684882000000001E-2</v>
      </c>
      <c r="AC21" s="71">
        <v>2.2806600999999999E-2</v>
      </c>
      <c r="AD21" s="71">
        <v>2.8250186E-2</v>
      </c>
      <c r="AE21" s="71">
        <v>3.3467932999999998E-2</v>
      </c>
      <c r="AF21" s="71">
        <v>3.7125379E-2</v>
      </c>
      <c r="AG21" s="71">
        <v>5.8970069999999999E-2</v>
      </c>
      <c r="AH21" s="71">
        <v>6.1810486999999997E-2</v>
      </c>
      <c r="AI21" s="71">
        <v>6.9350393999999996E-2</v>
      </c>
      <c r="AJ21" s="71">
        <v>7.8613171999999995E-2</v>
      </c>
      <c r="AK21" s="71">
        <v>8.3846181000000006E-2</v>
      </c>
      <c r="AL21" s="71">
        <v>8.5498445000000006E-2</v>
      </c>
      <c r="AM21" s="71">
        <v>8.6503276000000004E-2</v>
      </c>
      <c r="AN21" s="71">
        <v>0.17906387900000001</v>
      </c>
      <c r="AO21" s="71">
        <v>-0.113677444</v>
      </c>
      <c r="AP21" s="71">
        <v>0.88034251500000005</v>
      </c>
    </row>
    <row r="22" spans="1:42" x14ac:dyDescent="0.2">
      <c r="A22" t="s">
        <v>200</v>
      </c>
      <c r="B22" t="s">
        <v>129</v>
      </c>
      <c r="C22" t="s">
        <v>382</v>
      </c>
      <c r="D22" t="s">
        <v>383</v>
      </c>
      <c r="E22" s="71">
        <v>9.6409319999999996E-3</v>
      </c>
      <c r="F22" s="71">
        <v>1.2681365E-2</v>
      </c>
      <c r="G22" s="71">
        <v>1.9854784E-2</v>
      </c>
      <c r="H22" s="71">
        <v>2.984941E-2</v>
      </c>
      <c r="I22" s="71">
        <v>3.6588072999999999E-2</v>
      </c>
      <c r="J22" s="71">
        <v>4.1136502999999998E-2</v>
      </c>
      <c r="K22" s="71">
        <v>4.4324160000000001E-2</v>
      </c>
      <c r="L22" s="71">
        <v>-5.9744889000000002E-2</v>
      </c>
      <c r="M22" s="71">
        <v>-4.7336288999999997E-2</v>
      </c>
      <c r="N22" s="71">
        <v>-3.4488685999999998E-2</v>
      </c>
      <c r="O22" s="71">
        <v>-1.7966240000000001E-2</v>
      </c>
      <c r="P22" s="71">
        <v>-7.2531189999999997E-3</v>
      </c>
      <c r="Q22" s="71">
        <v>6.66769E-4</v>
      </c>
      <c r="R22" s="71">
        <v>5.5963979999999998E-3</v>
      </c>
      <c r="S22" s="71">
        <v>8.5031040000000002E-2</v>
      </c>
      <c r="T22" s="71">
        <v>7.6671096999999994E-2</v>
      </c>
      <c r="U22" s="71">
        <v>7.7195461000000007E-2</v>
      </c>
      <c r="V22" s="71">
        <v>8.0161960000000004E-2</v>
      </c>
      <c r="W22" s="71">
        <v>8.2780855E-2</v>
      </c>
      <c r="X22" s="71">
        <v>8.4340999999999999E-2</v>
      </c>
      <c r="Y22" s="71">
        <v>8.4536720999999995E-2</v>
      </c>
      <c r="Z22" s="71">
        <v>-1.8770592999999999E-2</v>
      </c>
      <c r="AA22" s="71">
        <v>-1.5729474E-2</v>
      </c>
      <c r="AB22" s="71">
        <v>-1.0434076E-2</v>
      </c>
      <c r="AC22" s="71">
        <v>-1.208235E-3</v>
      </c>
      <c r="AD22" s="71">
        <v>7.194153E-3</v>
      </c>
      <c r="AE22" s="71">
        <v>1.2002953E-2</v>
      </c>
      <c r="AF22" s="71">
        <v>1.6296458999999999E-2</v>
      </c>
      <c r="AG22" s="71">
        <v>3.8870869000000002E-2</v>
      </c>
      <c r="AH22" s="71">
        <v>4.1908306999999999E-2</v>
      </c>
      <c r="AI22" s="71">
        <v>5.1067273000000003E-2</v>
      </c>
      <c r="AJ22" s="71">
        <v>6.1870237000000002E-2</v>
      </c>
      <c r="AK22" s="71">
        <v>6.6837595E-2</v>
      </c>
      <c r="AL22" s="71">
        <v>7.1106898000000002E-2</v>
      </c>
      <c r="AM22" s="71">
        <v>7.3123491999999998E-2</v>
      </c>
      <c r="AN22" s="71">
        <v>0.217716364</v>
      </c>
      <c r="AO22" s="71">
        <v>-0.26442550300000001</v>
      </c>
      <c r="AP22" s="71">
        <v>0.89821278500000001</v>
      </c>
    </row>
    <row r="23" spans="1:42" x14ac:dyDescent="0.2">
      <c r="A23" t="s">
        <v>259</v>
      </c>
      <c r="B23" t="s">
        <v>129</v>
      </c>
      <c r="C23" t="s">
        <v>382</v>
      </c>
      <c r="D23" t="s">
        <v>383</v>
      </c>
      <c r="E23" s="71">
        <v>3.2961487999999997E-2</v>
      </c>
      <c r="F23" s="71">
        <v>3.5140037999999998E-2</v>
      </c>
      <c r="G23" s="71">
        <v>4.0173887999999998E-2</v>
      </c>
      <c r="H23" s="71">
        <v>4.6946406000000003E-2</v>
      </c>
      <c r="I23" s="71">
        <v>5.1352143000000003E-2</v>
      </c>
      <c r="J23" s="71">
        <v>5.4260373000000001E-2</v>
      </c>
      <c r="K23" s="71">
        <v>5.6273818000000003E-2</v>
      </c>
      <c r="L23" s="71">
        <v>-3.2738187000000002E-2</v>
      </c>
      <c r="M23" s="71">
        <v>-2.1867904000000001E-2</v>
      </c>
      <c r="N23" s="71">
        <v>-1.0841284E-2</v>
      </c>
      <c r="O23" s="71">
        <v>2.718004E-3</v>
      </c>
      <c r="P23" s="71">
        <v>1.0709570999999999E-2</v>
      </c>
      <c r="Q23" s="71">
        <v>1.6985343E-2</v>
      </c>
      <c r="R23" s="71">
        <v>2.0396227999999999E-2</v>
      </c>
      <c r="S23" s="71">
        <v>0.10251808599999999</v>
      </c>
      <c r="T23" s="71">
        <v>9.5062923999999993E-2</v>
      </c>
      <c r="U23" s="71">
        <v>9.3464057000000003E-2</v>
      </c>
      <c r="V23" s="71">
        <v>9.3717016E-2</v>
      </c>
      <c r="W23" s="71">
        <v>9.3841800000000003E-2</v>
      </c>
      <c r="X23" s="71">
        <v>9.4085720999999997E-2</v>
      </c>
      <c r="Y23" s="71">
        <v>9.3238439000000006E-2</v>
      </c>
      <c r="Z23" s="71">
        <v>6.4377560000000002E-3</v>
      </c>
      <c r="AA23" s="71">
        <v>8.3608020000000005E-3</v>
      </c>
      <c r="AB23" s="71">
        <v>1.2663852E-2</v>
      </c>
      <c r="AC23" s="71">
        <v>1.9030289999999998E-2</v>
      </c>
      <c r="AD23" s="71">
        <v>2.4024604000000001E-2</v>
      </c>
      <c r="AE23" s="71">
        <v>2.7744154E-2</v>
      </c>
      <c r="AF23" s="71">
        <v>3.1860701999999998E-2</v>
      </c>
      <c r="AG23" s="71">
        <v>6.0179949000000003E-2</v>
      </c>
      <c r="AH23" s="71">
        <v>6.2626300999999995E-2</v>
      </c>
      <c r="AI23" s="71">
        <v>6.8427672999999994E-2</v>
      </c>
      <c r="AJ23" s="71">
        <v>7.5624605999999997E-2</v>
      </c>
      <c r="AK23" s="71">
        <v>7.9406903000000001E-2</v>
      </c>
      <c r="AL23" s="71">
        <v>8.1458984999999998E-2</v>
      </c>
      <c r="AM23" s="71">
        <v>8.1263195999999996E-2</v>
      </c>
      <c r="AN23" s="71">
        <v>0.19792773899999999</v>
      </c>
      <c r="AO23" s="71">
        <v>-0.20831393500000001</v>
      </c>
      <c r="AP23" s="71">
        <v>0.86705350699999995</v>
      </c>
    </row>
    <row r="24" spans="1:42" x14ac:dyDescent="0.2">
      <c r="A24" t="s">
        <v>288</v>
      </c>
      <c r="B24" t="s">
        <v>129</v>
      </c>
      <c r="C24" t="s">
        <v>382</v>
      </c>
      <c r="D24" t="s">
        <v>383</v>
      </c>
      <c r="E24" s="71">
        <v>4.1176915000000001E-2</v>
      </c>
      <c r="F24" s="71">
        <v>4.3812036999999998E-2</v>
      </c>
      <c r="G24" s="71">
        <v>5.0171136999999998E-2</v>
      </c>
      <c r="H24" s="71">
        <v>5.9233903999999997E-2</v>
      </c>
      <c r="I24" s="71">
        <v>6.5431476000000002E-2</v>
      </c>
      <c r="J24" s="71">
        <v>6.9638848000000003E-2</v>
      </c>
      <c r="K24" s="71">
        <v>7.2594166000000002E-2</v>
      </c>
      <c r="L24" s="71">
        <v>-1.3120313E-2</v>
      </c>
      <c r="M24" s="71">
        <v>-4.2519159999999997E-3</v>
      </c>
      <c r="N24" s="71">
        <v>7.6467699999999998E-3</v>
      </c>
      <c r="O24" s="71">
        <v>2.1526818999999999E-2</v>
      </c>
      <c r="P24" s="71">
        <v>3.0809472000000001E-2</v>
      </c>
      <c r="Q24" s="71">
        <v>3.7443021E-2</v>
      </c>
      <c r="R24" s="71">
        <v>4.2381705999999998E-2</v>
      </c>
      <c r="S24" s="71">
        <v>9.8776717E-2</v>
      </c>
      <c r="T24" s="71">
        <v>9.3929763999999999E-2</v>
      </c>
      <c r="U24" s="71">
        <v>9.4632811999999997E-2</v>
      </c>
      <c r="V24" s="71">
        <v>9.7762563999999996E-2</v>
      </c>
      <c r="W24" s="71">
        <v>0.100874176</v>
      </c>
      <c r="X24" s="71">
        <v>0.10248502399999999</v>
      </c>
      <c r="Y24" s="71">
        <v>0.103487881</v>
      </c>
      <c r="Z24" s="71">
        <v>1.5830114999999999E-2</v>
      </c>
      <c r="AA24" s="71">
        <v>1.9759809999999999E-2</v>
      </c>
      <c r="AB24" s="71">
        <v>2.5132956000000001E-2</v>
      </c>
      <c r="AC24" s="71">
        <v>3.3888171000000002E-2</v>
      </c>
      <c r="AD24" s="71">
        <v>4.0223447000000002E-2</v>
      </c>
      <c r="AE24" s="71">
        <v>4.6328400999999998E-2</v>
      </c>
      <c r="AF24" s="71">
        <v>5.0109555E-2</v>
      </c>
      <c r="AG24" s="71">
        <v>6.7151716E-2</v>
      </c>
      <c r="AH24" s="71">
        <v>6.8427305999999993E-2</v>
      </c>
      <c r="AI24" s="71">
        <v>7.5817128999999997E-2</v>
      </c>
      <c r="AJ24" s="71">
        <v>8.5198299000000005E-2</v>
      </c>
      <c r="AK24" s="71">
        <v>9.1248212999999995E-2</v>
      </c>
      <c r="AL24" s="71">
        <v>9.3466872000000006E-2</v>
      </c>
      <c r="AM24" s="71">
        <v>9.5558925000000003E-2</v>
      </c>
      <c r="AN24" s="71">
        <v>0.15971465100000001</v>
      </c>
      <c r="AO24" s="71">
        <v>-0.14928950699999999</v>
      </c>
      <c r="AP24" s="71">
        <v>0.98982329000000002</v>
      </c>
    </row>
    <row r="25" spans="1:42" x14ac:dyDescent="0.2">
      <c r="A25" t="s">
        <v>272</v>
      </c>
      <c r="B25" t="s">
        <v>129</v>
      </c>
      <c r="C25" t="s">
        <v>382</v>
      </c>
      <c r="D25" t="s">
        <v>383</v>
      </c>
      <c r="E25" s="71">
        <v>2.5027871E-2</v>
      </c>
      <c r="F25" s="71">
        <v>2.8346062000000002E-2</v>
      </c>
      <c r="G25" s="71">
        <v>3.6257863000000001E-2</v>
      </c>
      <c r="H25" s="71">
        <v>4.7370194999999997E-2</v>
      </c>
      <c r="I25" s="71">
        <v>5.4883003E-2</v>
      </c>
      <c r="J25" s="71">
        <v>5.9954643000000002E-2</v>
      </c>
      <c r="K25" s="71">
        <v>6.3508390999999997E-2</v>
      </c>
      <c r="L25" s="71">
        <v>-2.7207107000000001E-2</v>
      </c>
      <c r="M25" s="71">
        <v>-1.8041432E-2</v>
      </c>
      <c r="N25" s="71">
        <v>-5.3027830000000001E-3</v>
      </c>
      <c r="O25" s="71">
        <v>1.0023531E-2</v>
      </c>
      <c r="P25" s="71">
        <v>2.0599304999999998E-2</v>
      </c>
      <c r="Q25" s="71">
        <v>2.8158944000000002E-2</v>
      </c>
      <c r="R25" s="71">
        <v>3.3619470999999998E-2</v>
      </c>
      <c r="S25" s="71">
        <v>8.0418063999999997E-2</v>
      </c>
      <c r="T25" s="71">
        <v>7.6556827999999993E-2</v>
      </c>
      <c r="U25" s="71">
        <v>7.9914702000000004E-2</v>
      </c>
      <c r="V25" s="71">
        <v>8.6465630000000002E-2</v>
      </c>
      <c r="W25" s="71">
        <v>9.0561127000000005E-2</v>
      </c>
      <c r="X25" s="71">
        <v>9.2942403000000007E-2</v>
      </c>
      <c r="Y25" s="71">
        <v>9.4479257999999997E-2</v>
      </c>
      <c r="Z25" s="71">
        <v>1.5836450000000001E-3</v>
      </c>
      <c r="AA25" s="71">
        <v>5.1004129999999998E-3</v>
      </c>
      <c r="AB25" s="71">
        <v>1.2401367E-2</v>
      </c>
      <c r="AC25" s="71">
        <v>2.3290617999999999E-2</v>
      </c>
      <c r="AD25" s="71">
        <v>3.1596551E-2</v>
      </c>
      <c r="AE25" s="71">
        <v>3.7665748999999998E-2</v>
      </c>
      <c r="AF25" s="71">
        <v>4.1942686E-2</v>
      </c>
      <c r="AG25" s="71">
        <v>4.9016719E-2</v>
      </c>
      <c r="AH25" s="71">
        <v>5.2125246E-2</v>
      </c>
      <c r="AI25" s="71">
        <v>6.0672881999999997E-2</v>
      </c>
      <c r="AJ25" s="71">
        <v>7.2013551999999995E-2</v>
      </c>
      <c r="AK25" s="71">
        <v>7.8692976999999997E-2</v>
      </c>
      <c r="AL25" s="71">
        <v>8.2720571000000007E-2</v>
      </c>
      <c r="AM25" s="71">
        <v>8.5518864999999999E-2</v>
      </c>
      <c r="AN25" s="71">
        <v>0.15849707499999999</v>
      </c>
      <c r="AO25" s="71">
        <v>-7.7687133000000005E-2</v>
      </c>
      <c r="AP25" s="71">
        <v>0.98796297799999999</v>
      </c>
    </row>
    <row r="26" spans="1:42" x14ac:dyDescent="0.2">
      <c r="A26" t="s">
        <v>178</v>
      </c>
      <c r="B26" t="s">
        <v>129</v>
      </c>
      <c r="C26" t="s">
        <v>382</v>
      </c>
      <c r="D26" t="s">
        <v>383</v>
      </c>
      <c r="E26" s="71">
        <v>3.0969739E-2</v>
      </c>
      <c r="F26" s="71">
        <v>3.4491777000000001E-2</v>
      </c>
      <c r="G26" s="71">
        <v>4.2701124999999999E-2</v>
      </c>
      <c r="H26" s="71">
        <v>5.4027437999999997E-2</v>
      </c>
      <c r="I26" s="71">
        <v>6.1628819000000001E-2</v>
      </c>
      <c r="J26" s="71">
        <v>6.6753268000000004E-2</v>
      </c>
      <c r="K26" s="71">
        <v>7.0343613999999999E-2</v>
      </c>
      <c r="L26" s="71">
        <v>-2.5605517000000001E-2</v>
      </c>
      <c r="M26" s="71">
        <v>-1.5872653E-2</v>
      </c>
      <c r="N26" s="71">
        <v>-2.2336140000000001E-3</v>
      </c>
      <c r="O26" s="71">
        <v>1.4147069E-2</v>
      </c>
      <c r="P26" s="71">
        <v>2.4388291999999999E-2</v>
      </c>
      <c r="Q26" s="71">
        <v>3.2252514000000003E-2</v>
      </c>
      <c r="R26" s="71">
        <v>3.8385514000000003E-2</v>
      </c>
      <c r="S26" s="71">
        <v>9.1059718999999997E-2</v>
      </c>
      <c r="T26" s="71">
        <v>8.7404962000000003E-2</v>
      </c>
      <c r="U26" s="71">
        <v>8.9150937E-2</v>
      </c>
      <c r="V26" s="71">
        <v>9.5035215000000006E-2</v>
      </c>
      <c r="W26" s="71">
        <v>0.10025286799999999</v>
      </c>
      <c r="X26" s="71">
        <v>0.10205400000000001</v>
      </c>
      <c r="Y26" s="71">
        <v>0.103133091</v>
      </c>
      <c r="Z26" s="71">
        <v>4.572123E-3</v>
      </c>
      <c r="AA26" s="71">
        <v>9.7185129999999998E-3</v>
      </c>
      <c r="AB26" s="71">
        <v>1.6727994999999999E-2</v>
      </c>
      <c r="AC26" s="71">
        <v>2.7864017000000001E-2</v>
      </c>
      <c r="AD26" s="71">
        <v>3.6413569999999999E-2</v>
      </c>
      <c r="AE26" s="71">
        <v>4.2594374999999997E-2</v>
      </c>
      <c r="AF26" s="71">
        <v>4.7234105999999998E-2</v>
      </c>
      <c r="AG26" s="71">
        <v>5.8061093000000001E-2</v>
      </c>
      <c r="AH26" s="71">
        <v>5.9872882000000002E-2</v>
      </c>
      <c r="AI26" s="71">
        <v>6.9337713999999995E-2</v>
      </c>
      <c r="AJ26" s="71">
        <v>8.0856712999999997E-2</v>
      </c>
      <c r="AK26" s="71">
        <v>8.7457525999999994E-2</v>
      </c>
      <c r="AL26" s="71">
        <v>9.1471752000000003E-2</v>
      </c>
      <c r="AM26" s="71">
        <v>9.3962904999999999E-2</v>
      </c>
      <c r="AN26" s="71">
        <v>0.168651627</v>
      </c>
      <c r="AO26" s="71">
        <v>-0.18710895399999999</v>
      </c>
      <c r="AP26" s="71">
        <v>0.98295407899999998</v>
      </c>
    </row>
    <row r="27" spans="1:42" x14ac:dyDescent="0.2">
      <c r="A27" t="s">
        <v>191</v>
      </c>
      <c r="B27" t="s">
        <v>129</v>
      </c>
      <c r="C27" t="s">
        <v>382</v>
      </c>
      <c r="D27" t="s">
        <v>383</v>
      </c>
      <c r="E27" s="71">
        <v>5.1751852000000001E-2</v>
      </c>
      <c r="F27" s="71">
        <v>5.4793119000000001E-2</v>
      </c>
      <c r="G27" s="71">
        <v>6.2416553E-2</v>
      </c>
      <c r="H27" s="71">
        <v>7.3762654999999996E-2</v>
      </c>
      <c r="I27" s="71">
        <v>8.1778883999999996E-2</v>
      </c>
      <c r="J27" s="71">
        <v>8.7312102000000003E-2</v>
      </c>
      <c r="K27" s="71">
        <v>9.1230512E-2</v>
      </c>
      <c r="L27" s="71">
        <v>-4.5491170000000001E-3</v>
      </c>
      <c r="M27" s="71">
        <v>5.6645180000000003E-3</v>
      </c>
      <c r="N27" s="71">
        <v>1.8891000000000002E-2</v>
      </c>
      <c r="O27" s="71">
        <v>3.5042974999999997E-2</v>
      </c>
      <c r="P27" s="71">
        <v>4.6114399E-2</v>
      </c>
      <c r="Q27" s="71">
        <v>5.3539595000000002E-2</v>
      </c>
      <c r="R27" s="71">
        <v>5.9677925999999999E-2</v>
      </c>
      <c r="S27" s="71">
        <v>0.11158423200000001</v>
      </c>
      <c r="T27" s="71">
        <v>0.107298638</v>
      </c>
      <c r="U27" s="71">
        <v>0.10854491400000001</v>
      </c>
      <c r="V27" s="71">
        <v>0.113917344</v>
      </c>
      <c r="W27" s="71">
        <v>0.11887279100000001</v>
      </c>
      <c r="X27" s="71">
        <v>0.121271358</v>
      </c>
      <c r="Y27" s="71">
        <v>0.12318361999999999</v>
      </c>
      <c r="Z27" s="71">
        <v>2.6736567999999999E-2</v>
      </c>
      <c r="AA27" s="71">
        <v>3.0460754E-2</v>
      </c>
      <c r="AB27" s="71">
        <v>3.8026774999999999E-2</v>
      </c>
      <c r="AC27" s="71">
        <v>4.8972383000000001E-2</v>
      </c>
      <c r="AD27" s="71">
        <v>5.7702281000000001E-2</v>
      </c>
      <c r="AE27" s="71">
        <v>6.4515786000000006E-2</v>
      </c>
      <c r="AF27" s="71">
        <v>6.9076024E-2</v>
      </c>
      <c r="AG27" s="71">
        <v>7.7376468000000004E-2</v>
      </c>
      <c r="AH27" s="71">
        <v>7.9700078999999993E-2</v>
      </c>
      <c r="AI27" s="71">
        <v>8.7379307000000003E-2</v>
      </c>
      <c r="AJ27" s="71">
        <v>9.9138654000000007E-2</v>
      </c>
      <c r="AK27" s="71">
        <v>0.106403495</v>
      </c>
      <c r="AL27" s="71">
        <v>0.110596478</v>
      </c>
      <c r="AM27" s="71">
        <v>0.11384403999999999</v>
      </c>
      <c r="AN27" s="71">
        <v>0.163422137</v>
      </c>
      <c r="AO27" s="71">
        <v>-4.8417464E-2</v>
      </c>
      <c r="AP27" s="71">
        <v>0.987001134</v>
      </c>
    </row>
    <row r="28" spans="1:42" x14ac:dyDescent="0.2">
      <c r="A28" t="s">
        <v>254</v>
      </c>
      <c r="B28" t="s">
        <v>129</v>
      </c>
      <c r="C28" t="s">
        <v>382</v>
      </c>
      <c r="D28" t="s">
        <v>383</v>
      </c>
      <c r="E28" s="71">
        <v>2.8967976999999999E-2</v>
      </c>
      <c r="F28" s="71">
        <v>3.3011793999999997E-2</v>
      </c>
      <c r="G28" s="71">
        <v>4.2504430000000003E-2</v>
      </c>
      <c r="H28" s="71">
        <v>5.5540681000000001E-2</v>
      </c>
      <c r="I28" s="71">
        <v>6.4164758000000002E-2</v>
      </c>
      <c r="J28" s="71">
        <v>6.9908142000000006E-2</v>
      </c>
      <c r="K28" s="71">
        <v>7.3903203000000001E-2</v>
      </c>
      <c r="L28" s="71">
        <v>-3.2641442E-2</v>
      </c>
      <c r="M28" s="71">
        <v>-2.1503443000000001E-2</v>
      </c>
      <c r="N28" s="71">
        <v>-6.4210339999999999E-3</v>
      </c>
      <c r="O28" s="71">
        <v>1.2211768E-2</v>
      </c>
      <c r="P28" s="71">
        <v>2.4589620999999999E-2</v>
      </c>
      <c r="Q28" s="71">
        <v>3.2677807000000003E-2</v>
      </c>
      <c r="R28" s="71">
        <v>3.8776435999999997E-2</v>
      </c>
      <c r="S28" s="71">
        <v>9.4699585000000003E-2</v>
      </c>
      <c r="T28" s="71">
        <v>9.0315808999999997E-2</v>
      </c>
      <c r="U28" s="71">
        <v>9.3999562999999994E-2</v>
      </c>
      <c r="V28" s="71">
        <v>0.101174734</v>
      </c>
      <c r="W28" s="71">
        <v>0.106362463</v>
      </c>
      <c r="X28" s="71">
        <v>0.109147937</v>
      </c>
      <c r="Y28" s="71">
        <v>0.11058538399999999</v>
      </c>
      <c r="Z28" s="71">
        <v>4.4223769999999999E-3</v>
      </c>
      <c r="AA28" s="71">
        <v>7.1915060000000003E-3</v>
      </c>
      <c r="AB28" s="71">
        <v>1.6230238000000001E-2</v>
      </c>
      <c r="AC28" s="71">
        <v>2.8212595E-2</v>
      </c>
      <c r="AD28" s="71">
        <v>3.6321555999999998E-2</v>
      </c>
      <c r="AE28" s="71">
        <v>4.4002692000000003E-2</v>
      </c>
      <c r="AF28" s="71">
        <v>4.9351183E-2</v>
      </c>
      <c r="AG28" s="71">
        <v>5.4113527000000002E-2</v>
      </c>
      <c r="AH28" s="71">
        <v>5.9493880999999998E-2</v>
      </c>
      <c r="AI28" s="71">
        <v>6.9457749999999999E-2</v>
      </c>
      <c r="AJ28" s="71">
        <v>8.3595141999999997E-2</v>
      </c>
      <c r="AK28" s="71">
        <v>9.2755900000000002E-2</v>
      </c>
      <c r="AL28" s="71">
        <v>9.6456561999999996E-2</v>
      </c>
      <c r="AM28" s="71">
        <v>9.9029584000000004E-2</v>
      </c>
      <c r="AN28" s="71">
        <v>0.18860390199999999</v>
      </c>
      <c r="AO28" s="71">
        <v>-0.149998144</v>
      </c>
      <c r="AP28" s="71">
        <v>0.98988396899999997</v>
      </c>
    </row>
    <row r="29" spans="1:42" x14ac:dyDescent="0.2">
      <c r="A29" t="s">
        <v>103</v>
      </c>
      <c r="B29" t="s">
        <v>129</v>
      </c>
      <c r="C29" t="s">
        <v>382</v>
      </c>
      <c r="D29" t="s">
        <v>383</v>
      </c>
      <c r="E29" s="71">
        <v>6.2530040999999995E-2</v>
      </c>
      <c r="F29" s="71">
        <v>6.5291881999999996E-2</v>
      </c>
      <c r="G29" s="71">
        <v>7.2140335999999999E-2</v>
      </c>
      <c r="H29" s="71">
        <v>8.2223892000000007E-2</v>
      </c>
      <c r="I29" s="71">
        <v>8.9301825000000001E-2</v>
      </c>
      <c r="J29" s="71">
        <v>9.4174861999999998E-2</v>
      </c>
      <c r="K29" s="71">
        <v>9.7622513999999994E-2</v>
      </c>
      <c r="L29" s="71">
        <v>-5.331494E-3</v>
      </c>
      <c r="M29" s="71">
        <v>5.2857520000000003E-3</v>
      </c>
      <c r="N29" s="71">
        <v>1.8656590000000001E-2</v>
      </c>
      <c r="O29" s="71">
        <v>3.4158859E-2</v>
      </c>
      <c r="P29" s="71">
        <v>4.5679216000000002E-2</v>
      </c>
      <c r="Q29" s="71">
        <v>5.3875669000000001E-2</v>
      </c>
      <c r="R29" s="71">
        <v>5.9727514000000002E-2</v>
      </c>
      <c r="S29" s="71">
        <v>0.135980139</v>
      </c>
      <c r="T29" s="71">
        <v>0.12825905500000001</v>
      </c>
      <c r="U29" s="71">
        <v>0.12755891499999999</v>
      </c>
      <c r="V29" s="71">
        <v>0.13265397800000001</v>
      </c>
      <c r="W29" s="71">
        <v>0.13427319600000001</v>
      </c>
      <c r="X29" s="71">
        <v>0.13538307099999999</v>
      </c>
      <c r="Y29" s="71">
        <v>0.136301428</v>
      </c>
      <c r="Z29" s="71">
        <v>2.9489584999999999E-2</v>
      </c>
      <c r="AA29" s="71">
        <v>3.4085534000000001E-2</v>
      </c>
      <c r="AB29" s="71">
        <v>4.0459072999999998E-2</v>
      </c>
      <c r="AC29" s="71">
        <v>5.2033996999999999E-2</v>
      </c>
      <c r="AD29" s="71">
        <v>6.0247162E-2</v>
      </c>
      <c r="AE29" s="71">
        <v>6.6266849000000003E-2</v>
      </c>
      <c r="AF29" s="71">
        <v>7.0601484000000006E-2</v>
      </c>
      <c r="AG29" s="71">
        <v>9.6630768000000006E-2</v>
      </c>
      <c r="AH29" s="71">
        <v>9.7439836000000002E-2</v>
      </c>
      <c r="AI29" s="71">
        <v>0.104786149</v>
      </c>
      <c r="AJ29" s="71">
        <v>0.113280191</v>
      </c>
      <c r="AK29" s="71">
        <v>0.11915255700000001</v>
      </c>
      <c r="AL29" s="71">
        <v>0.1228133</v>
      </c>
      <c r="AM29" s="71">
        <v>0.12532533900000001</v>
      </c>
      <c r="AN29" s="71">
        <v>0.195468741</v>
      </c>
      <c r="AO29" s="71">
        <v>-8.7595081000000005E-2</v>
      </c>
      <c r="AP29" s="71">
        <v>0.99164984599999995</v>
      </c>
    </row>
    <row r="30" spans="1:42" x14ac:dyDescent="0.2">
      <c r="A30" t="s">
        <v>214</v>
      </c>
      <c r="B30" t="s">
        <v>129</v>
      </c>
      <c r="C30" t="s">
        <v>382</v>
      </c>
      <c r="D30" t="s">
        <v>383</v>
      </c>
      <c r="E30" s="71">
        <v>4.4304371000000002E-2</v>
      </c>
      <c r="F30" s="71">
        <v>4.6405077000000003E-2</v>
      </c>
      <c r="G30" s="71">
        <v>5.1516414000000003E-2</v>
      </c>
      <c r="H30" s="71">
        <v>5.8886647E-2</v>
      </c>
      <c r="I30" s="71">
        <v>6.3989997000000007E-2</v>
      </c>
      <c r="J30" s="71">
        <v>6.7488073999999995E-2</v>
      </c>
      <c r="K30" s="71">
        <v>6.9961785999999998E-2</v>
      </c>
      <c r="L30" s="71">
        <v>-1.6611001E-2</v>
      </c>
      <c r="M30" s="71">
        <v>-6.0298510000000001E-3</v>
      </c>
      <c r="N30" s="71">
        <v>5.6225390000000002E-3</v>
      </c>
      <c r="O30" s="71">
        <v>1.6060428000000002E-2</v>
      </c>
      <c r="P30" s="71">
        <v>2.4690961000000001E-2</v>
      </c>
      <c r="Q30" s="71">
        <v>3.0936162E-2</v>
      </c>
      <c r="R30" s="71">
        <v>3.5324919000000003E-2</v>
      </c>
      <c r="S30" s="71">
        <v>0.108641738</v>
      </c>
      <c r="T30" s="71">
        <v>0.10204323</v>
      </c>
      <c r="U30" s="71">
        <v>0.10115703500000001</v>
      </c>
      <c r="V30" s="71">
        <v>0.10342158999999999</v>
      </c>
      <c r="W30" s="71">
        <v>0.104436351</v>
      </c>
      <c r="X30" s="71">
        <v>0.10520674300000001</v>
      </c>
      <c r="Y30" s="71">
        <v>0.10613191900000001</v>
      </c>
      <c r="Z30" s="71">
        <v>2.3040971E-2</v>
      </c>
      <c r="AA30" s="71">
        <v>2.4150973999999999E-2</v>
      </c>
      <c r="AB30" s="71">
        <v>2.6056544000000001E-2</v>
      </c>
      <c r="AC30" s="71">
        <v>3.2672076000000001E-2</v>
      </c>
      <c r="AD30" s="71">
        <v>3.8923257000000003E-2</v>
      </c>
      <c r="AE30" s="71">
        <v>4.2962413999999997E-2</v>
      </c>
      <c r="AF30" s="71">
        <v>4.5975337999999998E-2</v>
      </c>
      <c r="AG30" s="71">
        <v>6.6005197000000002E-2</v>
      </c>
      <c r="AH30" s="71">
        <v>6.9138478000000003E-2</v>
      </c>
      <c r="AI30" s="71">
        <v>7.7604667000000002E-2</v>
      </c>
      <c r="AJ30" s="71">
        <v>8.5763932000000001E-2</v>
      </c>
      <c r="AK30" s="71">
        <v>8.9659530000000001E-2</v>
      </c>
      <c r="AL30" s="71">
        <v>9.2588769000000001E-2</v>
      </c>
      <c r="AM30" s="71">
        <v>9.4496817999999996E-2</v>
      </c>
      <c r="AN30" s="71">
        <v>0.18659661699999999</v>
      </c>
      <c r="AO30" s="71">
        <v>-8.8671183000000001E-2</v>
      </c>
      <c r="AP30" s="71">
        <v>0.98923687299999996</v>
      </c>
    </row>
    <row r="31" spans="1:42" x14ac:dyDescent="0.2">
      <c r="A31" t="s">
        <v>164</v>
      </c>
      <c r="B31" t="s">
        <v>129</v>
      </c>
      <c r="C31" t="s">
        <v>382</v>
      </c>
      <c r="D31" t="s">
        <v>383</v>
      </c>
      <c r="E31" s="71">
        <v>2.3502588000000001E-2</v>
      </c>
      <c r="F31" s="71">
        <v>2.6592134999999999E-2</v>
      </c>
      <c r="G31" s="71">
        <v>3.4152030999999999E-2</v>
      </c>
      <c r="H31" s="71">
        <v>4.5150994999999999E-2</v>
      </c>
      <c r="I31" s="71">
        <v>5.2841305999999998E-2</v>
      </c>
      <c r="J31" s="71">
        <v>5.8150053E-2</v>
      </c>
      <c r="K31" s="71">
        <v>6.1923026999999999E-2</v>
      </c>
      <c r="L31" s="71">
        <v>-3.2282737999999998E-2</v>
      </c>
      <c r="M31" s="71">
        <v>-2.2763889999999998E-2</v>
      </c>
      <c r="N31" s="71">
        <v>-1.0016835999999999E-2</v>
      </c>
      <c r="O31" s="71">
        <v>4.995134E-3</v>
      </c>
      <c r="P31" s="71">
        <v>1.5419064E-2</v>
      </c>
      <c r="Q31" s="71">
        <v>2.4043648000000001E-2</v>
      </c>
      <c r="R31" s="71">
        <v>2.976821E-2</v>
      </c>
      <c r="S31" s="71">
        <v>8.2635949E-2</v>
      </c>
      <c r="T31" s="71">
        <v>7.8136127999999999E-2</v>
      </c>
      <c r="U31" s="71">
        <v>8.0726414999999996E-2</v>
      </c>
      <c r="V31" s="71">
        <v>8.7061372999999997E-2</v>
      </c>
      <c r="W31" s="71">
        <v>9.1428078999999995E-2</v>
      </c>
      <c r="X31" s="71">
        <v>9.3690811999999998E-2</v>
      </c>
      <c r="Y31" s="71">
        <v>9.5227902000000003E-2</v>
      </c>
      <c r="Z31" s="71">
        <v>1.2160610000000001E-3</v>
      </c>
      <c r="AA31" s="71">
        <v>3.001147E-3</v>
      </c>
      <c r="AB31" s="71">
        <v>8.3597480000000002E-3</v>
      </c>
      <c r="AC31" s="71">
        <v>1.8088559000000001E-2</v>
      </c>
      <c r="AD31" s="71">
        <v>2.7684160999999999E-2</v>
      </c>
      <c r="AE31" s="71">
        <v>3.4535359000000002E-2</v>
      </c>
      <c r="AF31" s="71">
        <v>3.8771778999999999E-2</v>
      </c>
      <c r="AG31" s="71">
        <v>4.6280768999999999E-2</v>
      </c>
      <c r="AH31" s="71">
        <v>5.073395E-2</v>
      </c>
      <c r="AI31" s="71">
        <v>6.0600339000000003E-2</v>
      </c>
      <c r="AJ31" s="71">
        <v>7.2930250000000002E-2</v>
      </c>
      <c r="AK31" s="71">
        <v>7.8612063999999995E-2</v>
      </c>
      <c r="AL31" s="71">
        <v>8.2302175000000005E-2</v>
      </c>
      <c r="AM31" s="71">
        <v>8.5588760999999999E-2</v>
      </c>
      <c r="AN31" s="71">
        <v>0.17320632</v>
      </c>
      <c r="AO31" s="71">
        <v>-0.147342629</v>
      </c>
      <c r="AP31" s="71">
        <v>0.98883101600000001</v>
      </c>
    </row>
    <row r="32" spans="1:42" x14ac:dyDescent="0.2">
      <c r="A32" t="s">
        <v>345</v>
      </c>
      <c r="B32" t="s">
        <v>129</v>
      </c>
      <c r="C32" t="s">
        <v>382</v>
      </c>
      <c r="D32" t="s">
        <v>383</v>
      </c>
      <c r="E32" s="71">
        <v>1.8500923999999998E-2</v>
      </c>
      <c r="F32" s="71">
        <v>2.3367286000000001E-2</v>
      </c>
      <c r="G32" s="71">
        <v>3.5101651999999997E-2</v>
      </c>
      <c r="H32" s="71">
        <v>5.1909684999999997E-2</v>
      </c>
      <c r="I32" s="71">
        <v>6.3472629000000003E-2</v>
      </c>
      <c r="J32" s="71">
        <v>7.1355343000000002E-2</v>
      </c>
      <c r="K32" s="71">
        <v>7.6908588E-2</v>
      </c>
      <c r="L32" s="71">
        <v>-4.0348518999999999E-2</v>
      </c>
      <c r="M32" s="71">
        <v>-2.7535665000000001E-2</v>
      </c>
      <c r="N32" s="71">
        <v>-1.0175103E-2</v>
      </c>
      <c r="O32" s="71">
        <v>1.1314166000000001E-2</v>
      </c>
      <c r="P32" s="71">
        <v>2.6137332999999999E-2</v>
      </c>
      <c r="Q32" s="71">
        <v>3.6657818000000002E-2</v>
      </c>
      <c r="R32" s="71">
        <v>4.5040620000000003E-2</v>
      </c>
      <c r="S32" s="71">
        <v>8.0640992999999994E-2</v>
      </c>
      <c r="T32" s="71">
        <v>7.7626453999999998E-2</v>
      </c>
      <c r="U32" s="71">
        <v>8.2775264000000001E-2</v>
      </c>
      <c r="V32" s="71">
        <v>9.3778928999999997E-2</v>
      </c>
      <c r="W32" s="71">
        <v>0.101638383</v>
      </c>
      <c r="X32" s="71">
        <v>0.106891784</v>
      </c>
      <c r="Y32" s="71">
        <v>0.110233214</v>
      </c>
      <c r="Z32" s="71">
        <v>-4.3298399999999997E-3</v>
      </c>
      <c r="AA32" s="71">
        <v>1.14977E-3</v>
      </c>
      <c r="AB32" s="71">
        <v>1.2147618000000001E-2</v>
      </c>
      <c r="AC32" s="71">
        <v>2.6857615000000001E-2</v>
      </c>
      <c r="AD32" s="71">
        <v>3.8787324999999997E-2</v>
      </c>
      <c r="AE32" s="71">
        <v>4.7741712999999998E-2</v>
      </c>
      <c r="AF32" s="71">
        <v>5.2994138000000003E-2</v>
      </c>
      <c r="AG32" s="71">
        <v>4.1850894999999999E-2</v>
      </c>
      <c r="AH32" s="71">
        <v>4.6073873000000001E-2</v>
      </c>
      <c r="AI32" s="71">
        <v>5.8572665000000003E-2</v>
      </c>
      <c r="AJ32" s="71">
        <v>7.7570263E-2</v>
      </c>
      <c r="AK32" s="71">
        <v>8.8742505999999999E-2</v>
      </c>
      <c r="AL32" s="71">
        <v>9.5499674000000007E-2</v>
      </c>
      <c r="AM32" s="71">
        <v>0.101364805</v>
      </c>
      <c r="AN32" s="71">
        <v>0.17602463500000001</v>
      </c>
      <c r="AO32" s="71">
        <v>-0.118233278</v>
      </c>
      <c r="AP32" s="71">
        <v>0.98894759499999996</v>
      </c>
    </row>
    <row r="33" spans="1:42" x14ac:dyDescent="0.2">
      <c r="A33" t="s">
        <v>178</v>
      </c>
      <c r="B33" t="s">
        <v>129</v>
      </c>
      <c r="C33" t="s">
        <v>190</v>
      </c>
      <c r="D33" t="s">
        <v>189</v>
      </c>
      <c r="E33" s="71">
        <v>1.8802046999999999E-2</v>
      </c>
      <c r="F33" s="71">
        <v>2.2085667E-2</v>
      </c>
      <c r="G33" s="71">
        <v>2.9719472E-2</v>
      </c>
      <c r="H33" s="71">
        <v>4.0221809999999997E-2</v>
      </c>
      <c r="I33" s="71">
        <v>4.7256827000000001E-2</v>
      </c>
      <c r="J33" s="71">
        <v>5.1994801E-2</v>
      </c>
      <c r="K33" s="71">
        <v>5.5312990999999999E-2</v>
      </c>
      <c r="L33" s="71">
        <v>-7.2610961000000002E-2</v>
      </c>
      <c r="M33" s="71">
        <v>-6.6226696000000002E-2</v>
      </c>
      <c r="N33" s="71">
        <v>-5.8637080000000001E-2</v>
      </c>
      <c r="O33" s="71">
        <v>-5.0232690000000003E-2</v>
      </c>
      <c r="P33" s="71">
        <v>-3.7385027000000001E-2</v>
      </c>
      <c r="Q33" s="71">
        <v>-2.9088295E-2</v>
      </c>
      <c r="R33" s="71">
        <v>-2.2359119E-2</v>
      </c>
      <c r="S33" s="71">
        <v>0.12070077799999999</v>
      </c>
      <c r="T33" s="71">
        <v>0.11878975</v>
      </c>
      <c r="U33" s="71">
        <v>0.12634494299999999</v>
      </c>
      <c r="V33" s="71">
        <v>0.13711712500000001</v>
      </c>
      <c r="W33" s="71">
        <v>0.139702623</v>
      </c>
      <c r="X33" s="71">
        <v>0.13958061999999999</v>
      </c>
      <c r="Y33" s="71">
        <v>0.139907426</v>
      </c>
      <c r="Z33" s="71">
        <v>-5.9389259999999999E-2</v>
      </c>
      <c r="AA33" s="71">
        <v>-5.3044494999999997E-2</v>
      </c>
      <c r="AB33" s="71">
        <v>-4.6957524E-2</v>
      </c>
      <c r="AC33" s="71">
        <v>-4.0025794000000003E-2</v>
      </c>
      <c r="AD33" s="71">
        <v>-3.2334186000000001E-2</v>
      </c>
      <c r="AE33" s="71">
        <v>-2.509347E-2</v>
      </c>
      <c r="AF33" s="71">
        <v>-1.8826774000000001E-2</v>
      </c>
      <c r="AG33" s="71">
        <v>0.10349080400000001</v>
      </c>
      <c r="AH33" s="71">
        <v>0.103174394</v>
      </c>
      <c r="AI33" s="71">
        <v>0.11256345700000001</v>
      </c>
      <c r="AJ33" s="71">
        <v>0.12717620800000001</v>
      </c>
      <c r="AK33" s="71">
        <v>0.13339299099999999</v>
      </c>
      <c r="AL33" s="71">
        <v>0.13517779699999999</v>
      </c>
      <c r="AM33" s="71">
        <v>0.13505410500000001</v>
      </c>
      <c r="AN33" s="71">
        <v>0.15410381400000001</v>
      </c>
      <c r="AO33" s="71">
        <v>4.9294201000000003E-2</v>
      </c>
      <c r="AP33" s="71">
        <v>0.45468078099999998</v>
      </c>
    </row>
    <row r="34" spans="1:42" x14ac:dyDescent="0.2">
      <c r="A34" t="s">
        <v>288</v>
      </c>
      <c r="B34" t="s">
        <v>129</v>
      </c>
      <c r="C34" t="s">
        <v>297</v>
      </c>
      <c r="D34" t="s">
        <v>296</v>
      </c>
      <c r="E34" s="71">
        <v>3.1915665000000003E-2</v>
      </c>
      <c r="F34" s="71">
        <v>3.3861518E-2</v>
      </c>
      <c r="G34" s="71">
        <v>3.8549422999999999E-2</v>
      </c>
      <c r="H34" s="71">
        <v>4.5215486999999999E-2</v>
      </c>
      <c r="I34" s="71">
        <v>4.9764872000000002E-2</v>
      </c>
      <c r="J34" s="71">
        <v>5.2849173999999999E-2</v>
      </c>
      <c r="K34" s="71">
        <v>5.5013657000000001E-2</v>
      </c>
      <c r="L34" s="71">
        <v>-3.3891923999999997E-2</v>
      </c>
      <c r="M34" s="71">
        <v>-2.9879662000000001E-2</v>
      </c>
      <c r="N34" s="71">
        <v>-2.6539215000000001E-2</v>
      </c>
      <c r="O34" s="71">
        <v>-2.1040145E-2</v>
      </c>
      <c r="P34" s="71">
        <v>-1.6372964E-2</v>
      </c>
      <c r="Q34" s="71">
        <v>-1.0406907999999999E-2</v>
      </c>
      <c r="R34" s="71">
        <v>-5.9532949999999999E-3</v>
      </c>
      <c r="S34" s="71">
        <v>0.102288672</v>
      </c>
      <c r="T34" s="71">
        <v>0.101442818</v>
      </c>
      <c r="U34" s="71">
        <v>0.107919169</v>
      </c>
      <c r="V34" s="71">
        <v>0.11539302</v>
      </c>
      <c r="W34" s="71">
        <v>0.119900729</v>
      </c>
      <c r="X34" s="71">
        <v>0.12030999100000001</v>
      </c>
      <c r="Y34" s="71">
        <v>0.119883534</v>
      </c>
      <c r="Z34" s="71">
        <v>-1.9718781000000001E-2</v>
      </c>
      <c r="AA34" s="71">
        <v>-1.8281545E-2</v>
      </c>
      <c r="AB34" s="71">
        <v>-1.8434783E-2</v>
      </c>
      <c r="AC34" s="71">
        <v>-1.773023E-2</v>
      </c>
      <c r="AD34" s="71">
        <v>-1.3347705E-2</v>
      </c>
      <c r="AE34" s="71">
        <v>-6.4895530000000003E-3</v>
      </c>
      <c r="AF34" s="71">
        <v>-4.72452E-4</v>
      </c>
      <c r="AG34" s="71">
        <v>8.6171782000000002E-2</v>
      </c>
      <c r="AH34" s="71">
        <v>8.8681437000000002E-2</v>
      </c>
      <c r="AI34" s="71">
        <v>9.8762174999999994E-2</v>
      </c>
      <c r="AJ34" s="71">
        <v>0.11213386</v>
      </c>
      <c r="AK34" s="71">
        <v>0.116866337</v>
      </c>
      <c r="AL34" s="71">
        <v>0.115692937</v>
      </c>
      <c r="AM34" s="71">
        <v>0.113547574</v>
      </c>
      <c r="AN34" s="71">
        <v>0.145761575</v>
      </c>
      <c r="AO34" s="71">
        <v>-9.7893949999999993E-3</v>
      </c>
      <c r="AP34" s="71">
        <v>0.55400784999999997</v>
      </c>
    </row>
    <row r="35" spans="1:42" x14ac:dyDescent="0.2">
      <c r="A35" t="s">
        <v>272</v>
      </c>
      <c r="B35" t="s">
        <v>129</v>
      </c>
      <c r="C35" t="s">
        <v>287</v>
      </c>
      <c r="D35" t="s">
        <v>286</v>
      </c>
      <c r="E35" s="71">
        <v>2.1769047E-2</v>
      </c>
      <c r="F35" s="71">
        <v>2.4330139000000001E-2</v>
      </c>
      <c r="G35" s="71">
        <v>3.0403018E-2</v>
      </c>
      <c r="H35" s="71">
        <v>3.8869619000000001E-2</v>
      </c>
      <c r="I35" s="71">
        <v>4.4558048000000003E-2</v>
      </c>
      <c r="J35" s="71">
        <v>4.8384428E-2</v>
      </c>
      <c r="K35" s="71">
        <v>5.10602E-2</v>
      </c>
      <c r="L35" s="71">
        <v>-3.5949915999999998E-2</v>
      </c>
      <c r="M35" s="71">
        <v>-3.0355684000000001E-2</v>
      </c>
      <c r="N35" s="71">
        <v>-2.3914711000000002E-2</v>
      </c>
      <c r="O35" s="71">
        <v>-1.7095738999999999E-2</v>
      </c>
      <c r="P35" s="71">
        <v>-9.9850939999999999E-3</v>
      </c>
      <c r="Q35" s="71">
        <v>-4.1847100000000003E-3</v>
      </c>
      <c r="R35" s="71">
        <v>4.7633400000000002E-4</v>
      </c>
      <c r="S35" s="71">
        <v>8.4356732000000004E-2</v>
      </c>
      <c r="T35" s="71">
        <v>8.1591482000000007E-2</v>
      </c>
      <c r="U35" s="71">
        <v>8.7524830999999997E-2</v>
      </c>
      <c r="V35" s="71">
        <v>9.7122116999999994E-2</v>
      </c>
      <c r="W35" s="71">
        <v>0.101821602</v>
      </c>
      <c r="X35" s="71">
        <v>0.10431836</v>
      </c>
      <c r="Y35" s="71">
        <v>0.104288387</v>
      </c>
      <c r="Z35" s="71">
        <v>-1.8108354E-2</v>
      </c>
      <c r="AA35" s="71">
        <v>-1.6648388E-2</v>
      </c>
      <c r="AB35" s="71">
        <v>-1.7705012999999999E-2</v>
      </c>
      <c r="AC35" s="71">
        <v>-1.3094758E-2</v>
      </c>
      <c r="AD35" s="71">
        <v>-6.7751419999999996E-3</v>
      </c>
      <c r="AE35" s="71">
        <v>-2.6415229999999998E-3</v>
      </c>
      <c r="AF35" s="71">
        <v>2.3945300000000002E-3</v>
      </c>
      <c r="AG35" s="71">
        <v>6.3265841000000003E-2</v>
      </c>
      <c r="AH35" s="71">
        <v>6.7016350000000002E-2</v>
      </c>
      <c r="AI35" s="71">
        <v>8.0867129999999995E-2</v>
      </c>
      <c r="AJ35" s="71">
        <v>9.3570134999999999E-2</v>
      </c>
      <c r="AK35" s="71">
        <v>9.8544294000000004E-2</v>
      </c>
      <c r="AL35" s="71">
        <v>0.1020209</v>
      </c>
      <c r="AM35" s="71">
        <v>0.10208859100000001</v>
      </c>
      <c r="AN35" s="71">
        <v>0.13473036299999999</v>
      </c>
      <c r="AO35" s="71">
        <v>-7.7019590999999998E-2</v>
      </c>
      <c r="AP35" s="71">
        <v>0.66143691400000004</v>
      </c>
    </row>
    <row r="36" spans="1:42" x14ac:dyDescent="0.2">
      <c r="A36" t="s">
        <v>164</v>
      </c>
      <c r="B36" t="s">
        <v>129</v>
      </c>
      <c r="C36" t="s">
        <v>175</v>
      </c>
      <c r="D36" t="s">
        <v>174</v>
      </c>
      <c r="E36" s="71">
        <v>8.0848931999999998E-2</v>
      </c>
      <c r="F36" s="71">
        <v>7.8971743999999996E-2</v>
      </c>
      <c r="G36" s="71">
        <v>7.4555516000000002E-2</v>
      </c>
      <c r="H36" s="71">
        <v>6.8530916999999997E-2</v>
      </c>
      <c r="I36" s="71">
        <v>6.4611316000000002E-2</v>
      </c>
      <c r="J36" s="71">
        <v>6.2051772999999998E-2</v>
      </c>
      <c r="K36" s="71">
        <v>6.0303450000000001E-2</v>
      </c>
      <c r="L36" s="71">
        <v>-1.5194008E-2</v>
      </c>
      <c r="M36" s="71">
        <v>-1.2046423000000001E-2</v>
      </c>
      <c r="N36" s="71">
        <v>-1.9404496E-2</v>
      </c>
      <c r="O36" s="71">
        <v>-2.9902656E-2</v>
      </c>
      <c r="P36" s="71">
        <v>-3.0862661999999999E-2</v>
      </c>
      <c r="Q36" s="71">
        <v>-3.0842721E-2</v>
      </c>
      <c r="R36" s="71">
        <v>-2.9400216E-2</v>
      </c>
      <c r="S36" s="71">
        <v>0.185018827</v>
      </c>
      <c r="T36" s="71">
        <v>0.179327348</v>
      </c>
      <c r="U36" s="71">
        <v>0.17683590299999999</v>
      </c>
      <c r="V36" s="71">
        <v>0.175898107</v>
      </c>
      <c r="W36" s="71">
        <v>0.169246752</v>
      </c>
      <c r="X36" s="71">
        <v>0.16253020300000001</v>
      </c>
      <c r="Y36" s="71">
        <v>0.15801926399999999</v>
      </c>
      <c r="Z36" s="71">
        <v>1.3531784999999999E-2</v>
      </c>
      <c r="AA36" s="71">
        <v>8.7642009999999992E-3</v>
      </c>
      <c r="AB36" s="71">
        <v>-5.5918180000000001E-3</v>
      </c>
      <c r="AC36" s="71">
        <v>-1.669756E-2</v>
      </c>
      <c r="AD36" s="71">
        <v>-2.4485389999999999E-2</v>
      </c>
      <c r="AE36" s="71">
        <v>-2.5776851999999999E-2</v>
      </c>
      <c r="AF36" s="71">
        <v>-2.5001638999999999E-2</v>
      </c>
      <c r="AG36" s="71">
        <v>0.152637252</v>
      </c>
      <c r="AH36" s="71">
        <v>0.154065383</v>
      </c>
      <c r="AI36" s="71">
        <v>0.16116246200000001</v>
      </c>
      <c r="AJ36" s="71">
        <v>0.16114683399999999</v>
      </c>
      <c r="AK36" s="71">
        <v>0.161845508</v>
      </c>
      <c r="AL36" s="71">
        <v>0.15779848799999999</v>
      </c>
      <c r="AM36" s="71">
        <v>0.15307222100000001</v>
      </c>
      <c r="AN36" s="71">
        <v>0.21234784700000001</v>
      </c>
      <c r="AO36" s="71">
        <v>-0.12338429400000001</v>
      </c>
      <c r="AP36" s="71">
        <v>0.61421250999999999</v>
      </c>
    </row>
    <row r="37" spans="1:42" x14ac:dyDescent="0.2">
      <c r="A37" t="s">
        <v>224</v>
      </c>
      <c r="B37" t="s">
        <v>129</v>
      </c>
      <c r="C37" t="s">
        <v>239</v>
      </c>
      <c r="D37" t="s">
        <v>238</v>
      </c>
      <c r="E37" s="71">
        <v>4.2026997000000003E-2</v>
      </c>
      <c r="F37" s="71">
        <v>4.3185592000000002E-2</v>
      </c>
      <c r="G37" s="71">
        <v>4.5863986000000002E-2</v>
      </c>
      <c r="H37" s="71">
        <v>4.9387573999999997E-2</v>
      </c>
      <c r="I37" s="71">
        <v>5.1547527000000003E-2</v>
      </c>
      <c r="J37" s="71">
        <v>5.2865981999999999E-2</v>
      </c>
      <c r="K37" s="71">
        <v>5.3710103000000002E-2</v>
      </c>
      <c r="L37" s="71">
        <v>-1.9067865999999999E-2</v>
      </c>
      <c r="M37" s="71">
        <v>-1.4225577999999999E-2</v>
      </c>
      <c r="N37" s="71">
        <v>-1.2800149E-2</v>
      </c>
      <c r="O37" s="71">
        <v>-8.6119960000000002E-3</v>
      </c>
      <c r="P37" s="71">
        <v>-5.9975460000000003E-3</v>
      </c>
      <c r="Q37" s="71">
        <v>-3.407771E-3</v>
      </c>
      <c r="R37" s="71">
        <v>1.384185E-3</v>
      </c>
      <c r="S37" s="71">
        <v>0.107562482</v>
      </c>
      <c r="T37" s="71">
        <v>0.103870037</v>
      </c>
      <c r="U37" s="71">
        <v>0.10786084999999999</v>
      </c>
      <c r="V37" s="71">
        <v>0.112304511</v>
      </c>
      <c r="W37" s="71">
        <v>0.112835344</v>
      </c>
      <c r="X37" s="71">
        <v>0.11189049700000001</v>
      </c>
      <c r="Y37" s="71">
        <v>0.109750682</v>
      </c>
      <c r="Z37" s="71">
        <v>2.6269100000000001E-4</v>
      </c>
      <c r="AA37" s="71">
        <v>-1.9300900000000001E-4</v>
      </c>
      <c r="AB37" s="71">
        <v>-4.0111269999999997E-3</v>
      </c>
      <c r="AC37" s="71">
        <v>-4.0559619999999998E-3</v>
      </c>
      <c r="AD37" s="71">
        <v>-4.8860889999999997E-3</v>
      </c>
      <c r="AE37" s="71">
        <v>-3.1745100000000001E-4</v>
      </c>
      <c r="AF37" s="71">
        <v>3.3672760000000002E-3</v>
      </c>
      <c r="AG37" s="71">
        <v>8.5535027999999999E-2</v>
      </c>
      <c r="AH37" s="71">
        <v>8.8446094000000003E-2</v>
      </c>
      <c r="AI37" s="71">
        <v>9.8236619999999997E-2</v>
      </c>
      <c r="AJ37" s="71">
        <v>0.105698894</v>
      </c>
      <c r="AK37" s="71">
        <v>0.111181268</v>
      </c>
      <c r="AL37" s="71">
        <v>0.10887896699999999</v>
      </c>
      <c r="AM37" s="71">
        <v>0.106578749</v>
      </c>
      <c r="AN37" s="71">
        <v>0.14666478899999999</v>
      </c>
      <c r="AO37" s="71">
        <v>-0.14238769100000001</v>
      </c>
      <c r="AP37" s="71">
        <v>0.80212652600000001</v>
      </c>
    </row>
    <row r="38" spans="1:42" x14ac:dyDescent="0.2">
      <c r="A38" t="s">
        <v>138</v>
      </c>
      <c r="B38" t="s">
        <v>129</v>
      </c>
      <c r="C38" t="s">
        <v>135</v>
      </c>
      <c r="D38" t="s">
        <v>134</v>
      </c>
      <c r="E38" s="71">
        <v>4.8139214999999999E-2</v>
      </c>
      <c r="F38" s="71">
        <v>5.1371932000000002E-2</v>
      </c>
      <c r="G38" s="75">
        <v>5.9137106000000002E-2</v>
      </c>
      <c r="H38" s="71">
        <v>7.0096492999999996E-2</v>
      </c>
      <c r="I38" s="71">
        <v>7.7487469000000003E-2</v>
      </c>
      <c r="J38" s="71">
        <v>8.2439898999999997E-2</v>
      </c>
      <c r="K38" s="71">
        <v>8.5881472E-2</v>
      </c>
      <c r="L38" s="71">
        <v>-1.8092018000000001E-2</v>
      </c>
      <c r="M38" s="71">
        <v>-6.0406619999999996E-3</v>
      </c>
      <c r="N38" s="71">
        <v>8.0939930000000007E-3</v>
      </c>
      <c r="O38" s="71">
        <v>2.4199180000000001E-2</v>
      </c>
      <c r="P38" s="71">
        <v>3.5864078000000001E-2</v>
      </c>
      <c r="Q38" s="71">
        <v>4.3242762999999997E-2</v>
      </c>
      <c r="R38" s="71">
        <v>4.9022630999999997E-2</v>
      </c>
      <c r="S38" s="71">
        <v>0.119086653</v>
      </c>
      <c r="T38" s="71">
        <v>0.11292253300000001</v>
      </c>
      <c r="U38" s="71">
        <v>0.112854839</v>
      </c>
      <c r="V38" s="71">
        <v>0.11679808799999999</v>
      </c>
      <c r="W38" s="71">
        <v>0.12090527099999999</v>
      </c>
      <c r="X38" s="71">
        <v>0.122910556</v>
      </c>
      <c r="Y38" s="71">
        <v>0.123755011</v>
      </c>
      <c r="Z38" s="71">
        <v>2.5242023999999998E-2</v>
      </c>
      <c r="AA38" s="71">
        <v>2.7510809000000001E-2</v>
      </c>
      <c r="AB38" s="71">
        <v>3.2506823999999997E-2</v>
      </c>
      <c r="AC38" s="71">
        <v>4.0984154000000002E-2</v>
      </c>
      <c r="AD38" s="71">
        <v>4.9677672999999999E-2</v>
      </c>
      <c r="AE38" s="71">
        <v>5.6155719E-2</v>
      </c>
      <c r="AF38" s="71">
        <v>6.0336254999999998E-2</v>
      </c>
      <c r="AG38" s="71">
        <v>7.1523882999999996E-2</v>
      </c>
      <c r="AH38" s="71">
        <v>7.5764526999999998E-2</v>
      </c>
      <c r="AI38" s="71">
        <v>8.6434883000000004E-2</v>
      </c>
      <c r="AJ38" s="71">
        <v>0.10000785199999999</v>
      </c>
      <c r="AK38" s="71">
        <v>0.10602231600000001</v>
      </c>
      <c r="AL38" s="71">
        <v>0.109368889</v>
      </c>
      <c r="AM38" s="71">
        <v>0.112034218</v>
      </c>
      <c r="AN38" s="71">
        <v>0.20572275000000001</v>
      </c>
      <c r="AO38" s="71">
        <v>-1.6330292999999999E-2</v>
      </c>
      <c r="AP38" s="71">
        <v>0.778034805</v>
      </c>
    </row>
    <row r="39" spans="1:42" x14ac:dyDescent="0.2">
      <c r="A39" t="s">
        <v>240</v>
      </c>
      <c r="B39" t="s">
        <v>129</v>
      </c>
      <c r="C39" t="s">
        <v>135</v>
      </c>
      <c r="D39" t="s">
        <v>134</v>
      </c>
      <c r="E39" s="71">
        <v>3.3672809999999997E-2</v>
      </c>
      <c r="F39" s="71">
        <v>3.6967515999999999E-2</v>
      </c>
      <c r="G39" s="71">
        <v>4.4940233000000003E-2</v>
      </c>
      <c r="H39" s="71">
        <v>5.6338310000000003E-2</v>
      </c>
      <c r="I39" s="71">
        <v>6.4151883000000007E-2</v>
      </c>
      <c r="J39" s="71">
        <v>6.9464086999999994E-2</v>
      </c>
      <c r="K39" s="71">
        <v>7.3199033999999996E-2</v>
      </c>
      <c r="L39" s="71">
        <v>-2.8990436000000001E-2</v>
      </c>
      <c r="M39" s="71">
        <v>-1.7959624E-2</v>
      </c>
      <c r="N39" s="71">
        <v>-2.6179969999999999E-3</v>
      </c>
      <c r="O39" s="71">
        <v>1.3084109999999999E-2</v>
      </c>
      <c r="P39" s="71">
        <v>2.3884527999999999E-2</v>
      </c>
      <c r="Q39" s="71">
        <v>3.0826009000000001E-2</v>
      </c>
      <c r="R39" s="71">
        <v>3.5964556000000002E-2</v>
      </c>
      <c r="S39" s="71">
        <v>0.10000165499999999</v>
      </c>
      <c r="T39" s="71">
        <v>9.4391189E-2</v>
      </c>
      <c r="U39" s="71">
        <v>9.5499257000000004E-2</v>
      </c>
      <c r="V39" s="71">
        <v>0.101940983</v>
      </c>
      <c r="W39" s="71">
        <v>0.106108542</v>
      </c>
      <c r="X39" s="71">
        <v>0.109417127</v>
      </c>
      <c r="Y39" s="71">
        <v>0.111573174</v>
      </c>
      <c r="Z39" s="71">
        <v>9.2160269999999999E-3</v>
      </c>
      <c r="AA39" s="71">
        <v>1.3183932000000001E-2</v>
      </c>
      <c r="AB39" s="71">
        <v>1.9752651E-2</v>
      </c>
      <c r="AC39" s="71">
        <v>2.8562311E-2</v>
      </c>
      <c r="AD39" s="71">
        <v>3.7166082000000003E-2</v>
      </c>
      <c r="AE39" s="71">
        <v>4.1984327000000002E-2</v>
      </c>
      <c r="AF39" s="71">
        <v>4.6515603000000003E-2</v>
      </c>
      <c r="AG39" s="71">
        <v>5.8698719000000003E-2</v>
      </c>
      <c r="AH39" s="71">
        <v>6.1287121E-2</v>
      </c>
      <c r="AI39" s="71">
        <v>7.0730807000000007E-2</v>
      </c>
      <c r="AJ39" s="71">
        <v>8.4849652999999997E-2</v>
      </c>
      <c r="AK39" s="71">
        <v>9.1828070999999997E-2</v>
      </c>
      <c r="AL39" s="71">
        <v>9.7658929000000005E-2</v>
      </c>
      <c r="AM39" s="71">
        <v>0.10055475</v>
      </c>
      <c r="AN39" s="71">
        <v>0.187226637</v>
      </c>
      <c r="AO39" s="71">
        <v>-0.21711248399999999</v>
      </c>
      <c r="AP39" s="71">
        <v>0.70175525100000002</v>
      </c>
    </row>
    <row r="40" spans="1:42" x14ac:dyDescent="0.2">
      <c r="A40" t="s">
        <v>224</v>
      </c>
      <c r="B40" t="s">
        <v>129</v>
      </c>
      <c r="C40" t="s">
        <v>135</v>
      </c>
      <c r="D40" t="s">
        <v>134</v>
      </c>
      <c r="E40" s="71">
        <v>3.7876487E-2</v>
      </c>
      <c r="F40" s="71">
        <v>4.1267036999999999E-2</v>
      </c>
      <c r="G40" s="71">
        <v>4.9357653000000001E-2</v>
      </c>
      <c r="H40" s="71">
        <v>6.0639976999999998E-2</v>
      </c>
      <c r="I40" s="71">
        <v>6.8128942999999997E-2</v>
      </c>
      <c r="J40" s="71">
        <v>7.3073267999999997E-2</v>
      </c>
      <c r="K40" s="71">
        <v>7.6466560000000003E-2</v>
      </c>
      <c r="L40" s="71">
        <v>-2.4278201999999999E-2</v>
      </c>
      <c r="M40" s="71">
        <v>-1.3661850999999999E-2</v>
      </c>
      <c r="N40" s="71">
        <v>7.7231900000000004E-4</v>
      </c>
      <c r="O40" s="71">
        <v>1.8035217999999999E-2</v>
      </c>
      <c r="P40" s="71">
        <v>2.9187972E-2</v>
      </c>
      <c r="Q40" s="71">
        <v>3.6691065000000002E-2</v>
      </c>
      <c r="R40" s="71">
        <v>4.2988885999999997E-2</v>
      </c>
      <c r="S40" s="71">
        <v>0.103812264</v>
      </c>
      <c r="T40" s="71">
        <v>9.8664813000000004E-2</v>
      </c>
      <c r="U40" s="71">
        <v>9.9731133999999999E-2</v>
      </c>
      <c r="V40" s="71">
        <v>0.104626516</v>
      </c>
      <c r="W40" s="71">
        <v>0.108450981</v>
      </c>
      <c r="X40" s="71">
        <v>0.110354323</v>
      </c>
      <c r="Y40" s="71">
        <v>0.11133655100000001</v>
      </c>
      <c r="Z40" s="71">
        <v>1.1416796E-2</v>
      </c>
      <c r="AA40" s="71">
        <v>1.5110701000000001E-2</v>
      </c>
      <c r="AB40" s="71">
        <v>2.1699348E-2</v>
      </c>
      <c r="AC40" s="71">
        <v>3.4614876000000003E-2</v>
      </c>
      <c r="AD40" s="71">
        <v>4.2425319000000003E-2</v>
      </c>
      <c r="AE40" s="71">
        <v>4.9082187999999999E-2</v>
      </c>
      <c r="AF40" s="71">
        <v>5.5100405999999998E-2</v>
      </c>
      <c r="AG40" s="71">
        <v>6.5004623999999997E-2</v>
      </c>
      <c r="AH40" s="71">
        <v>6.8075096000000002E-2</v>
      </c>
      <c r="AI40" s="71">
        <v>7.7745303000000002E-2</v>
      </c>
      <c r="AJ40" s="71">
        <v>8.7305073999999996E-2</v>
      </c>
      <c r="AK40" s="71">
        <v>9.4454948999999996E-2</v>
      </c>
      <c r="AL40" s="71">
        <v>9.7603529999999994E-2</v>
      </c>
      <c r="AM40" s="71">
        <v>9.8257422999999997E-2</v>
      </c>
      <c r="AN40" s="71">
        <v>0.188350765</v>
      </c>
      <c r="AO40" s="71">
        <v>-9.8101295000000005E-2</v>
      </c>
      <c r="AP40" s="71">
        <v>0.68588068300000005</v>
      </c>
    </row>
    <row r="41" spans="1:42" x14ac:dyDescent="0.2">
      <c r="A41" t="s">
        <v>200</v>
      </c>
      <c r="B41" t="s">
        <v>129</v>
      </c>
      <c r="C41" t="s">
        <v>135</v>
      </c>
      <c r="D41" t="s">
        <v>134</v>
      </c>
      <c r="E41" s="71">
        <v>1.3671994E-2</v>
      </c>
      <c r="F41" s="71">
        <v>1.7586350000000001E-2</v>
      </c>
      <c r="G41" s="71">
        <v>2.6886344E-2</v>
      </c>
      <c r="H41" s="71">
        <v>3.9949179000000001E-2</v>
      </c>
      <c r="I41" s="71">
        <v>4.8809647999999997E-2</v>
      </c>
      <c r="J41" s="71">
        <v>5.4809213000000002E-2</v>
      </c>
      <c r="K41" s="71">
        <v>5.9021353999999998E-2</v>
      </c>
      <c r="L41" s="71">
        <v>-5.8475462999999998E-2</v>
      </c>
      <c r="M41" s="71">
        <v>-4.4753231999999997E-2</v>
      </c>
      <c r="N41" s="71">
        <v>-2.8896046000000002E-2</v>
      </c>
      <c r="O41" s="71">
        <v>-8.6008509999999996E-3</v>
      </c>
      <c r="P41" s="71">
        <v>4.3762990000000002E-3</v>
      </c>
      <c r="Q41" s="71">
        <v>1.2573311E-2</v>
      </c>
      <c r="R41" s="71">
        <v>1.8713595E-2</v>
      </c>
      <c r="S41" s="71">
        <v>9.1270718000000001E-2</v>
      </c>
      <c r="T41" s="71">
        <v>8.3483217999999998E-2</v>
      </c>
      <c r="U41" s="71">
        <v>8.4124460999999998E-2</v>
      </c>
      <c r="V41" s="71">
        <v>9.1655674000000006E-2</v>
      </c>
      <c r="W41" s="71">
        <v>9.5369023999999997E-2</v>
      </c>
      <c r="X41" s="71">
        <v>9.8240271000000004E-2</v>
      </c>
      <c r="Y41" s="71">
        <v>9.9960379000000002E-2</v>
      </c>
      <c r="Z41" s="71">
        <v>-1.4344747999999999E-2</v>
      </c>
      <c r="AA41" s="71">
        <v>-9.4497890000000001E-3</v>
      </c>
      <c r="AB41" s="71">
        <v>-1.5967170000000001E-3</v>
      </c>
      <c r="AC41" s="71">
        <v>9.7602839999999993E-3</v>
      </c>
      <c r="AD41" s="71">
        <v>2.0258563E-2</v>
      </c>
      <c r="AE41" s="71">
        <v>2.6488434000000002E-2</v>
      </c>
      <c r="AF41" s="71">
        <v>3.1017568999999998E-2</v>
      </c>
      <c r="AG41" s="71">
        <v>4.2458300999999997E-2</v>
      </c>
      <c r="AH41" s="71">
        <v>4.5335085999999997E-2</v>
      </c>
      <c r="AI41" s="71">
        <v>5.6160031999999999E-2</v>
      </c>
      <c r="AJ41" s="71">
        <v>7.1023977000000002E-2</v>
      </c>
      <c r="AK41" s="71">
        <v>7.8146541999999999E-2</v>
      </c>
      <c r="AL41" s="71">
        <v>8.3900575000000005E-2</v>
      </c>
      <c r="AM41" s="71">
        <v>8.7776765000000007E-2</v>
      </c>
      <c r="AN41" s="71">
        <v>0.22723678</v>
      </c>
      <c r="AO41" s="71">
        <v>-0.24979116500000001</v>
      </c>
      <c r="AP41" s="71">
        <v>0.73298763600000005</v>
      </c>
    </row>
    <row r="42" spans="1:42" x14ac:dyDescent="0.2">
      <c r="A42" t="s">
        <v>259</v>
      </c>
      <c r="B42" t="s">
        <v>129</v>
      </c>
      <c r="C42" t="s">
        <v>135</v>
      </c>
      <c r="D42" t="s">
        <v>134</v>
      </c>
      <c r="E42" s="71">
        <v>3.7085772000000003E-2</v>
      </c>
      <c r="F42" s="71">
        <v>4.0153741999999999E-2</v>
      </c>
      <c r="G42" s="71">
        <v>4.7345519000000003E-2</v>
      </c>
      <c r="H42" s="71">
        <v>5.7213901999999997E-2</v>
      </c>
      <c r="I42" s="71">
        <v>6.3747883000000005E-2</v>
      </c>
      <c r="J42" s="71">
        <v>6.8105578E-2</v>
      </c>
      <c r="K42" s="71">
        <v>7.1139335999999997E-2</v>
      </c>
      <c r="L42" s="71">
        <v>-2.9034234999999999E-2</v>
      </c>
      <c r="M42" s="71">
        <v>-1.8497497000000002E-2</v>
      </c>
      <c r="N42" s="71">
        <v>-3.7461550000000001E-3</v>
      </c>
      <c r="O42" s="71">
        <v>1.2802607000000001E-2</v>
      </c>
      <c r="P42" s="71">
        <v>2.3360313000000001E-2</v>
      </c>
      <c r="Q42" s="71">
        <v>3.0444784999999999E-2</v>
      </c>
      <c r="R42" s="71">
        <v>3.6104127E-2</v>
      </c>
      <c r="S42" s="71">
        <v>0.109509603</v>
      </c>
      <c r="T42" s="71">
        <v>0.10248399699999999</v>
      </c>
      <c r="U42" s="71">
        <v>0.10131169399999999</v>
      </c>
      <c r="V42" s="71">
        <v>0.104186221</v>
      </c>
      <c r="W42" s="71">
        <v>0.106187854</v>
      </c>
      <c r="X42" s="71">
        <v>0.10703480899999999</v>
      </c>
      <c r="Y42" s="71">
        <v>0.10785291299999999</v>
      </c>
      <c r="Z42" s="71">
        <v>1.0039423E-2</v>
      </c>
      <c r="AA42" s="71">
        <v>1.3141643999999999E-2</v>
      </c>
      <c r="AB42" s="71">
        <v>1.8798555000000002E-2</v>
      </c>
      <c r="AC42" s="71">
        <v>3.0201427999999999E-2</v>
      </c>
      <c r="AD42" s="71">
        <v>3.7072333999999998E-2</v>
      </c>
      <c r="AE42" s="71">
        <v>4.2206335999999997E-2</v>
      </c>
      <c r="AF42" s="71">
        <v>4.6760522999999998E-2</v>
      </c>
      <c r="AG42" s="71">
        <v>6.4828907000000005E-2</v>
      </c>
      <c r="AH42" s="71">
        <v>6.7860272999999999E-2</v>
      </c>
      <c r="AI42" s="71">
        <v>7.6670049000000004E-2</v>
      </c>
      <c r="AJ42" s="71">
        <v>8.4917657999999993E-2</v>
      </c>
      <c r="AK42" s="71">
        <v>9.1096315999999997E-2</v>
      </c>
      <c r="AL42" s="71">
        <v>9.4637411000000005E-2</v>
      </c>
      <c r="AM42" s="71">
        <v>9.6076587000000005E-2</v>
      </c>
      <c r="AN42" s="71">
        <v>0.20116542800000001</v>
      </c>
      <c r="AO42" s="71">
        <v>-0.198344826</v>
      </c>
      <c r="AP42" s="71">
        <v>0.71445039300000002</v>
      </c>
    </row>
    <row r="43" spans="1:42" x14ac:dyDescent="0.2">
      <c r="A43" t="s">
        <v>288</v>
      </c>
      <c r="B43" t="s">
        <v>129</v>
      </c>
      <c r="C43" t="s">
        <v>135</v>
      </c>
      <c r="D43" t="s">
        <v>134</v>
      </c>
      <c r="E43" s="71">
        <v>4.5334816E-2</v>
      </c>
      <c r="F43" s="71">
        <v>4.8868656000000003E-2</v>
      </c>
      <c r="G43" s="71">
        <v>5.7412505000000003E-2</v>
      </c>
      <c r="H43" s="71">
        <v>6.9622516999999995E-2</v>
      </c>
      <c r="I43" s="71">
        <v>7.7993751E-2</v>
      </c>
      <c r="J43" s="71">
        <v>8.3686352000000006E-2</v>
      </c>
      <c r="K43" s="71">
        <v>8.7689638E-2</v>
      </c>
      <c r="L43" s="71">
        <v>-6.4485990000000002E-3</v>
      </c>
      <c r="M43" s="71">
        <v>2.805086E-3</v>
      </c>
      <c r="N43" s="71">
        <v>1.6850733E-2</v>
      </c>
      <c r="O43" s="71">
        <v>3.4320688000000002E-2</v>
      </c>
      <c r="P43" s="71">
        <v>4.5506808000000003E-2</v>
      </c>
      <c r="Q43" s="71">
        <v>5.4076809000000003E-2</v>
      </c>
      <c r="R43" s="71">
        <v>6.0375167E-2</v>
      </c>
      <c r="S43" s="71">
        <v>0.100063466</v>
      </c>
      <c r="T43" s="71">
        <v>9.5949886999999998E-2</v>
      </c>
      <c r="U43" s="71">
        <v>9.8596970000000006E-2</v>
      </c>
      <c r="V43" s="71">
        <v>0.106265059</v>
      </c>
      <c r="W43" s="71">
        <v>0.110936284</v>
      </c>
      <c r="X43" s="71">
        <v>0.11383178300000001</v>
      </c>
      <c r="Y43" s="71">
        <v>0.115874065</v>
      </c>
      <c r="Z43" s="71">
        <v>2.2229624999999999E-2</v>
      </c>
      <c r="AA43" s="71">
        <v>2.6260265000000001E-2</v>
      </c>
      <c r="AB43" s="71">
        <v>3.4707811999999998E-2</v>
      </c>
      <c r="AC43" s="71">
        <v>4.7208184E-2</v>
      </c>
      <c r="AD43" s="71">
        <v>5.7920493000000003E-2</v>
      </c>
      <c r="AE43" s="71">
        <v>6.5133229000000001E-2</v>
      </c>
      <c r="AF43" s="71">
        <v>6.9590526999999999E-2</v>
      </c>
      <c r="AG43" s="71">
        <v>6.8934860000000001E-2</v>
      </c>
      <c r="AH43" s="71">
        <v>7.1949172000000006E-2</v>
      </c>
      <c r="AI43" s="71">
        <v>8.0592830000000004E-2</v>
      </c>
      <c r="AJ43" s="71">
        <v>9.2499456999999993E-2</v>
      </c>
      <c r="AK43" s="71">
        <v>9.8434296000000004E-2</v>
      </c>
      <c r="AL43" s="71">
        <v>0.10255164</v>
      </c>
      <c r="AM43" s="71">
        <v>0.10608574799999999</v>
      </c>
      <c r="AN43" s="71">
        <v>0.15152850200000001</v>
      </c>
      <c r="AO43" s="71">
        <v>-0.14857097399999999</v>
      </c>
      <c r="AP43" s="71">
        <v>0.62087104699999995</v>
      </c>
    </row>
    <row r="44" spans="1:42" x14ac:dyDescent="0.2">
      <c r="A44" t="s">
        <v>272</v>
      </c>
      <c r="B44" t="s">
        <v>129</v>
      </c>
      <c r="C44" t="s">
        <v>135</v>
      </c>
      <c r="D44" t="s">
        <v>134</v>
      </c>
      <c r="E44" s="71">
        <v>2.9120325999999998E-2</v>
      </c>
      <c r="F44" s="71">
        <v>3.3326863999999998E-2</v>
      </c>
      <c r="G44" s="71">
        <v>4.3402313999999997E-2</v>
      </c>
      <c r="H44" s="71">
        <v>5.7641745000000001E-2</v>
      </c>
      <c r="I44" s="71">
        <v>6.7320347000000003E-2</v>
      </c>
      <c r="J44" s="71">
        <v>7.3874473999999996E-2</v>
      </c>
      <c r="K44" s="71">
        <v>7.8475475000000003E-2</v>
      </c>
      <c r="L44" s="71">
        <v>-2.5566478E-2</v>
      </c>
      <c r="M44" s="71">
        <v>-1.5394478E-2</v>
      </c>
      <c r="N44" s="71">
        <v>-4.1015099999999998E-4</v>
      </c>
      <c r="O44" s="71">
        <v>1.9805383999999999E-2</v>
      </c>
      <c r="P44" s="71">
        <v>3.3257375999999998E-2</v>
      </c>
      <c r="Q44" s="71">
        <v>4.2216370000000003E-2</v>
      </c>
      <c r="R44" s="71">
        <v>4.8345680000000002E-2</v>
      </c>
      <c r="S44" s="71">
        <v>8.6609371000000004E-2</v>
      </c>
      <c r="T44" s="71">
        <v>8.3837211999999994E-2</v>
      </c>
      <c r="U44" s="71">
        <v>8.7461670000000005E-2</v>
      </c>
      <c r="V44" s="71">
        <v>9.5980922999999996E-2</v>
      </c>
      <c r="W44" s="71">
        <v>0.102629941</v>
      </c>
      <c r="X44" s="71">
        <v>0.106736201</v>
      </c>
      <c r="Y44" s="71">
        <v>0.10905300599999999</v>
      </c>
      <c r="Z44" s="71">
        <v>4.826431E-3</v>
      </c>
      <c r="AA44" s="71">
        <v>9.5631429999999996E-3</v>
      </c>
      <c r="AB44" s="71">
        <v>2.0658263999999999E-2</v>
      </c>
      <c r="AC44" s="71">
        <v>3.4121850000000002E-2</v>
      </c>
      <c r="AD44" s="71">
        <v>4.4651978000000002E-2</v>
      </c>
      <c r="AE44" s="71">
        <v>5.2135918000000003E-2</v>
      </c>
      <c r="AF44" s="71">
        <v>5.6531400000000002E-2</v>
      </c>
      <c r="AG44" s="71">
        <v>5.3974622E-2</v>
      </c>
      <c r="AH44" s="71">
        <v>5.7624276000000002E-2</v>
      </c>
      <c r="AI44" s="71">
        <v>6.6631199000000002E-2</v>
      </c>
      <c r="AJ44" s="71">
        <v>8.1679514999999994E-2</v>
      </c>
      <c r="AK44" s="71">
        <v>9.0467222E-2</v>
      </c>
      <c r="AL44" s="71">
        <v>9.6051386000000002E-2</v>
      </c>
      <c r="AM44" s="71">
        <v>0.100866129</v>
      </c>
      <c r="AN44" s="71">
        <v>0.169187961</v>
      </c>
      <c r="AO44" s="71">
        <v>-6.4911231E-2</v>
      </c>
      <c r="AP44" s="71">
        <v>0.67486303299999995</v>
      </c>
    </row>
    <row r="45" spans="1:42" x14ac:dyDescent="0.2">
      <c r="A45" t="s">
        <v>178</v>
      </c>
      <c r="B45" t="s">
        <v>129</v>
      </c>
      <c r="C45" t="s">
        <v>135</v>
      </c>
      <c r="D45" t="s">
        <v>134</v>
      </c>
      <c r="E45" s="71">
        <v>3.5086036000000001E-2</v>
      </c>
      <c r="F45" s="71">
        <v>3.9502382000000003E-2</v>
      </c>
      <c r="G45" s="71">
        <v>4.9890161000000002E-2</v>
      </c>
      <c r="H45" s="71">
        <v>6.4364314000000006E-2</v>
      </c>
      <c r="I45" s="71">
        <v>7.4145794000000001E-2</v>
      </c>
      <c r="J45" s="71">
        <v>8.0762386000000005E-2</v>
      </c>
      <c r="K45" s="71">
        <v>8.5406898999999994E-2</v>
      </c>
      <c r="L45" s="71">
        <v>-2.1372382999999998E-2</v>
      </c>
      <c r="M45" s="71">
        <v>-1.0502266999999999E-2</v>
      </c>
      <c r="N45" s="71">
        <v>6.1706749999999996E-3</v>
      </c>
      <c r="O45" s="71">
        <v>2.4933902000000001E-2</v>
      </c>
      <c r="P45" s="71">
        <v>3.8476005000000001E-2</v>
      </c>
      <c r="Q45" s="71">
        <v>4.7561332999999997E-2</v>
      </c>
      <c r="R45" s="71">
        <v>5.527932E-2</v>
      </c>
      <c r="S45" s="71">
        <v>9.4688431000000003E-2</v>
      </c>
      <c r="T45" s="71">
        <v>9.2312354999999999E-2</v>
      </c>
      <c r="U45" s="71">
        <v>9.5660986000000003E-2</v>
      </c>
      <c r="V45" s="71">
        <v>0.105073783</v>
      </c>
      <c r="W45" s="71">
        <v>0.110725699</v>
      </c>
      <c r="X45" s="71">
        <v>0.114112198</v>
      </c>
      <c r="Y45" s="71">
        <v>0.11616094</v>
      </c>
      <c r="Z45" s="71">
        <v>9.7803520000000008E-3</v>
      </c>
      <c r="AA45" s="71">
        <v>1.4495098E-2</v>
      </c>
      <c r="AB45" s="71">
        <v>2.4772470000000001E-2</v>
      </c>
      <c r="AC45" s="71">
        <v>4.0203252000000002E-2</v>
      </c>
      <c r="AD45" s="71">
        <v>5.1722164000000001E-2</v>
      </c>
      <c r="AE45" s="71">
        <v>6.0059684000000002E-2</v>
      </c>
      <c r="AF45" s="71">
        <v>6.4637154000000002E-2</v>
      </c>
      <c r="AG45" s="71">
        <v>6.1002226E-2</v>
      </c>
      <c r="AH45" s="71">
        <v>6.5103808999999999E-2</v>
      </c>
      <c r="AI45" s="71">
        <v>7.5604190000000002E-2</v>
      </c>
      <c r="AJ45" s="71">
        <v>8.9071756000000002E-2</v>
      </c>
      <c r="AK45" s="71">
        <v>9.7035734999999998E-2</v>
      </c>
      <c r="AL45" s="71">
        <v>0.101859871</v>
      </c>
      <c r="AM45" s="71">
        <v>0.10657383400000001</v>
      </c>
      <c r="AN45" s="71">
        <v>0.16646002400000001</v>
      </c>
      <c r="AO45" s="71">
        <v>-0.18157659800000001</v>
      </c>
      <c r="AP45" s="71">
        <v>0.73986056899999997</v>
      </c>
    </row>
    <row r="46" spans="1:42" x14ac:dyDescent="0.2">
      <c r="A46" t="s">
        <v>191</v>
      </c>
      <c r="B46" t="s">
        <v>129</v>
      </c>
      <c r="C46" t="s">
        <v>135</v>
      </c>
      <c r="D46" t="s">
        <v>134</v>
      </c>
      <c r="E46" s="71">
        <v>5.5940746999999999E-2</v>
      </c>
      <c r="F46" s="71">
        <v>5.9892415999999997E-2</v>
      </c>
      <c r="G46" s="71">
        <v>6.9733142999999997E-2</v>
      </c>
      <c r="H46" s="71">
        <v>8.4286571000000005E-2</v>
      </c>
      <c r="I46" s="71">
        <v>9.4528197999999994E-2</v>
      </c>
      <c r="J46" s="71">
        <v>0.10158705699999999</v>
      </c>
      <c r="K46" s="71">
        <v>0.106584311</v>
      </c>
      <c r="L46" s="71">
        <v>-4.4381780000000001E-3</v>
      </c>
      <c r="M46" s="71">
        <v>7.2289909999999997E-3</v>
      </c>
      <c r="N46" s="71">
        <v>2.2976626E-2</v>
      </c>
      <c r="O46" s="71">
        <v>4.2853005E-2</v>
      </c>
      <c r="P46" s="71">
        <v>5.7350004000000003E-2</v>
      </c>
      <c r="Q46" s="71">
        <v>6.7220221999999996E-2</v>
      </c>
      <c r="R46" s="71">
        <v>7.4383052000000005E-2</v>
      </c>
      <c r="S46" s="71">
        <v>0.121052388</v>
      </c>
      <c r="T46" s="71">
        <v>0.115568567</v>
      </c>
      <c r="U46" s="71">
        <v>0.118567609</v>
      </c>
      <c r="V46" s="71">
        <v>0.12714103600000001</v>
      </c>
      <c r="W46" s="71">
        <v>0.13379685799999999</v>
      </c>
      <c r="X46" s="71">
        <v>0.13743872800000001</v>
      </c>
      <c r="Y46" s="71">
        <v>0.13979043699999999</v>
      </c>
      <c r="Z46" s="71">
        <v>3.1453351999999997E-2</v>
      </c>
      <c r="AA46" s="71">
        <v>3.5405749E-2</v>
      </c>
      <c r="AB46" s="71">
        <v>4.4278608999999997E-2</v>
      </c>
      <c r="AC46" s="71">
        <v>5.9549821000000003E-2</v>
      </c>
      <c r="AD46" s="71">
        <v>7.0026189000000003E-2</v>
      </c>
      <c r="AE46" s="71">
        <v>7.8000439000000005E-2</v>
      </c>
      <c r="AF46" s="71">
        <v>8.3649688E-2</v>
      </c>
      <c r="AG46" s="71">
        <v>8.1009445999999999E-2</v>
      </c>
      <c r="AH46" s="71">
        <v>8.4958084000000003E-2</v>
      </c>
      <c r="AI46" s="71">
        <v>9.5808057000000002E-2</v>
      </c>
      <c r="AJ46" s="71">
        <v>0.109600926</v>
      </c>
      <c r="AK46" s="71">
        <v>0.11959141700000001</v>
      </c>
      <c r="AL46" s="71">
        <v>0.12568981500000001</v>
      </c>
      <c r="AM46" s="71">
        <v>0.13000430800000001</v>
      </c>
      <c r="AN46" s="71">
        <v>0.175168935</v>
      </c>
      <c r="AO46" s="71">
        <v>-3.7572302000000002E-2</v>
      </c>
      <c r="AP46" s="71">
        <v>0.70260980699999998</v>
      </c>
    </row>
    <row r="47" spans="1:42" x14ac:dyDescent="0.2">
      <c r="A47" t="s">
        <v>254</v>
      </c>
      <c r="B47" t="s">
        <v>129</v>
      </c>
      <c r="C47" t="s">
        <v>135</v>
      </c>
      <c r="D47" t="s">
        <v>134</v>
      </c>
      <c r="E47" s="71">
        <v>3.3076166999999997E-2</v>
      </c>
      <c r="F47" s="71">
        <v>3.8015127000000003E-2</v>
      </c>
      <c r="G47" s="71">
        <v>4.9691916000000003E-2</v>
      </c>
      <c r="H47" s="71">
        <v>6.5892458000000001E-2</v>
      </c>
      <c r="I47" s="71">
        <v>7.6711416000000004E-2</v>
      </c>
      <c r="J47" s="71">
        <v>8.3958863999999994E-2</v>
      </c>
      <c r="K47" s="71">
        <v>8.9016676000000003E-2</v>
      </c>
      <c r="L47" s="71">
        <v>-3.1312805999999999E-2</v>
      </c>
      <c r="M47" s="71">
        <v>-1.8354263999999999E-2</v>
      </c>
      <c r="N47" s="71">
        <v>-4.7391700000000002E-4</v>
      </c>
      <c r="O47" s="71">
        <v>2.1570570000000001E-2</v>
      </c>
      <c r="P47" s="71">
        <v>3.5892904000000003E-2</v>
      </c>
      <c r="Q47" s="71">
        <v>4.5238766999999999E-2</v>
      </c>
      <c r="R47" s="71">
        <v>5.3365488000000003E-2</v>
      </c>
      <c r="S47" s="71">
        <v>0.102103969</v>
      </c>
      <c r="T47" s="71">
        <v>9.8318379999999997E-2</v>
      </c>
      <c r="U47" s="71">
        <v>0.10190046</v>
      </c>
      <c r="V47" s="71">
        <v>0.111834584</v>
      </c>
      <c r="W47" s="71">
        <v>0.118903788</v>
      </c>
      <c r="X47" s="71">
        <v>0.123269987</v>
      </c>
      <c r="Y47" s="71">
        <v>0.12648090200000001</v>
      </c>
      <c r="Z47" s="71">
        <v>7.5285869999999998E-3</v>
      </c>
      <c r="AA47" s="71">
        <v>1.2522414000000001E-2</v>
      </c>
      <c r="AB47" s="71">
        <v>2.3825591E-2</v>
      </c>
      <c r="AC47" s="71">
        <v>3.8760023999999997E-2</v>
      </c>
      <c r="AD47" s="71">
        <v>4.9585773E-2</v>
      </c>
      <c r="AE47" s="71">
        <v>5.8476984000000003E-2</v>
      </c>
      <c r="AF47" s="71">
        <v>6.3407479000000003E-2</v>
      </c>
      <c r="AG47" s="71">
        <v>5.9248021999999997E-2</v>
      </c>
      <c r="AH47" s="71">
        <v>6.4127304999999996E-2</v>
      </c>
      <c r="AI47" s="71">
        <v>7.6192544000000001E-2</v>
      </c>
      <c r="AJ47" s="71">
        <v>9.3718644000000004E-2</v>
      </c>
      <c r="AK47" s="71">
        <v>0.104526489</v>
      </c>
      <c r="AL47" s="71">
        <v>0.110044567</v>
      </c>
      <c r="AM47" s="71">
        <v>0.11523439100000001</v>
      </c>
      <c r="AN47" s="71">
        <v>0.19682715100000001</v>
      </c>
      <c r="AO47" s="71">
        <v>-0.136969166</v>
      </c>
      <c r="AP47" s="71">
        <v>0.77200170999999995</v>
      </c>
    </row>
    <row r="48" spans="1:42" x14ac:dyDescent="0.2">
      <c r="A48" t="s">
        <v>103</v>
      </c>
      <c r="B48" t="s">
        <v>129</v>
      </c>
      <c r="C48" t="s">
        <v>135</v>
      </c>
      <c r="D48" t="s">
        <v>134</v>
      </c>
      <c r="E48" s="71">
        <v>6.6771150000000001E-2</v>
      </c>
      <c r="F48" s="71">
        <v>7.0450663999999996E-2</v>
      </c>
      <c r="G48" s="71">
        <v>7.9531550000000006E-2</v>
      </c>
      <c r="H48" s="71">
        <v>9.2836738000000002E-2</v>
      </c>
      <c r="I48" s="71">
        <v>0.102144361</v>
      </c>
      <c r="J48" s="71">
        <v>0.10854375400000001</v>
      </c>
      <c r="K48" s="71">
        <v>0.11306941500000001</v>
      </c>
      <c r="L48" s="71">
        <v>3.6055599999999999E-4</v>
      </c>
      <c r="M48" s="71">
        <v>1.2041113000000001E-2</v>
      </c>
      <c r="N48" s="71">
        <v>2.8157071999999998E-2</v>
      </c>
      <c r="O48" s="71">
        <v>4.7860022000000002E-2</v>
      </c>
      <c r="P48" s="71">
        <v>6.0971812E-2</v>
      </c>
      <c r="Q48" s="71">
        <v>7.0978747999999994E-2</v>
      </c>
      <c r="R48" s="71">
        <v>7.7910627999999996E-2</v>
      </c>
      <c r="S48" s="71">
        <v>0.137424237</v>
      </c>
      <c r="T48" s="71">
        <v>0.13169372300000001</v>
      </c>
      <c r="U48" s="71">
        <v>0.13273876700000001</v>
      </c>
      <c r="V48" s="71">
        <v>0.13951971899999999</v>
      </c>
      <c r="W48" s="71">
        <v>0.14387886</v>
      </c>
      <c r="X48" s="71">
        <v>0.14679345199999999</v>
      </c>
      <c r="Y48" s="71">
        <v>0.14846726099999999</v>
      </c>
      <c r="Z48" s="71">
        <v>3.7711078000000002E-2</v>
      </c>
      <c r="AA48" s="71">
        <v>4.0745072E-2</v>
      </c>
      <c r="AB48" s="71">
        <v>5.1192583E-2</v>
      </c>
      <c r="AC48" s="71">
        <v>6.6231619000000005E-2</v>
      </c>
      <c r="AD48" s="71">
        <v>7.6003470000000004E-2</v>
      </c>
      <c r="AE48" s="71">
        <v>8.3690378999999995E-2</v>
      </c>
      <c r="AF48" s="71">
        <v>9.0933468000000003E-2</v>
      </c>
      <c r="AG48" s="71">
        <v>9.6620790999999998E-2</v>
      </c>
      <c r="AH48" s="71">
        <v>0.100981082</v>
      </c>
      <c r="AI48" s="71">
        <v>0.108614498</v>
      </c>
      <c r="AJ48" s="71">
        <v>0.120090496</v>
      </c>
      <c r="AK48" s="71">
        <v>0.12890850700000001</v>
      </c>
      <c r="AL48" s="71">
        <v>0.13395732900000001</v>
      </c>
      <c r="AM48" s="71">
        <v>0.135646144</v>
      </c>
      <c r="AN48" s="71">
        <v>0.186416779</v>
      </c>
      <c r="AO48" s="71">
        <v>-8.4708686000000005E-2</v>
      </c>
      <c r="AP48" s="71">
        <v>0.75876832100000002</v>
      </c>
    </row>
    <row r="49" spans="1:42" x14ac:dyDescent="0.2">
      <c r="A49" t="s">
        <v>214</v>
      </c>
      <c r="B49" t="s">
        <v>129</v>
      </c>
      <c r="C49" t="s">
        <v>135</v>
      </c>
      <c r="D49" t="s">
        <v>134</v>
      </c>
      <c r="E49" s="71">
        <v>4.8473597E-2</v>
      </c>
      <c r="F49" s="71">
        <v>5.1473141E-2</v>
      </c>
      <c r="G49" s="71">
        <v>5.8766127000000001E-2</v>
      </c>
      <c r="H49" s="71">
        <v>6.9271087999999995E-2</v>
      </c>
      <c r="I49" s="71">
        <v>7.6534748E-2</v>
      </c>
      <c r="J49" s="71">
        <v>8.1506967999999999E-2</v>
      </c>
      <c r="K49" s="71">
        <v>8.5019707999999999E-2</v>
      </c>
      <c r="L49" s="71">
        <v>-1.8974990000000001E-2</v>
      </c>
      <c r="M49" s="71">
        <v>-7.1020240000000002E-3</v>
      </c>
      <c r="N49" s="71">
        <v>6.7618299999999999E-3</v>
      </c>
      <c r="O49" s="71">
        <v>2.388289E-2</v>
      </c>
      <c r="P49" s="71">
        <v>3.4688296E-2</v>
      </c>
      <c r="Q49" s="71">
        <v>4.3450646000000002E-2</v>
      </c>
      <c r="R49" s="71">
        <v>4.8564884000000003E-2</v>
      </c>
      <c r="S49" s="71">
        <v>0.12014952</v>
      </c>
      <c r="T49" s="71">
        <v>0.114177075</v>
      </c>
      <c r="U49" s="71">
        <v>0.114077792</v>
      </c>
      <c r="V49" s="71">
        <v>0.11683004399999999</v>
      </c>
      <c r="W49" s="71">
        <v>0.120156438</v>
      </c>
      <c r="X49" s="71">
        <v>0.122371734</v>
      </c>
      <c r="Y49" s="71">
        <v>0.123214477</v>
      </c>
      <c r="Z49" s="71">
        <v>2.5970276E-2</v>
      </c>
      <c r="AA49" s="71">
        <v>2.8795581000000001E-2</v>
      </c>
      <c r="AB49" s="71">
        <v>3.4411944E-2</v>
      </c>
      <c r="AC49" s="71">
        <v>4.3649953999999998E-2</v>
      </c>
      <c r="AD49" s="71">
        <v>5.1149396999999999E-2</v>
      </c>
      <c r="AE49" s="71">
        <v>5.6664126000000002E-2</v>
      </c>
      <c r="AF49" s="71">
        <v>6.0454926999999999E-2</v>
      </c>
      <c r="AG49" s="71">
        <v>7.1442922000000006E-2</v>
      </c>
      <c r="AH49" s="71">
        <v>7.4624560000000006E-2</v>
      </c>
      <c r="AI49" s="71">
        <v>8.3671366999999996E-2</v>
      </c>
      <c r="AJ49" s="71">
        <v>9.5504004000000003E-2</v>
      </c>
      <c r="AK49" s="71">
        <v>0.102519552</v>
      </c>
      <c r="AL49" s="71">
        <v>0.106922634</v>
      </c>
      <c r="AM49" s="71">
        <v>0.110144216</v>
      </c>
      <c r="AN49" s="71">
        <v>0.205462598</v>
      </c>
      <c r="AO49" s="71">
        <v>-7.4051230999999995E-2</v>
      </c>
      <c r="AP49" s="71">
        <v>0.78711205900000003</v>
      </c>
    </row>
    <row r="50" spans="1:42" x14ac:dyDescent="0.2">
      <c r="A50" t="s">
        <v>164</v>
      </c>
      <c r="B50" t="s">
        <v>129</v>
      </c>
      <c r="C50" t="s">
        <v>135</v>
      </c>
      <c r="D50" t="s">
        <v>134</v>
      </c>
      <c r="E50" s="71">
        <v>2.7587414000000001E-2</v>
      </c>
      <c r="F50" s="71">
        <v>3.1562923999999999E-2</v>
      </c>
      <c r="G50" s="71">
        <v>4.1280746E-2</v>
      </c>
      <c r="H50" s="71">
        <v>5.5399894999999998E-2</v>
      </c>
      <c r="I50" s="71">
        <v>6.5253854E-2</v>
      </c>
      <c r="J50" s="71">
        <v>7.2045565000000006E-2</v>
      </c>
      <c r="K50" s="71">
        <v>7.6867342000000005E-2</v>
      </c>
      <c r="L50" s="71">
        <v>-3.1999503999999998E-2</v>
      </c>
      <c r="M50" s="71">
        <v>-1.9969081E-2</v>
      </c>
      <c r="N50" s="71">
        <v>-4.9683069999999999E-3</v>
      </c>
      <c r="O50" s="71">
        <v>1.4161216000000001E-2</v>
      </c>
      <c r="P50" s="71">
        <v>2.7953054000000001E-2</v>
      </c>
      <c r="Q50" s="71">
        <v>3.7957945999999999E-2</v>
      </c>
      <c r="R50" s="71">
        <v>4.4794581E-2</v>
      </c>
      <c r="S50" s="71">
        <v>9.1217163000000004E-2</v>
      </c>
      <c r="T50" s="71">
        <v>8.5232107000000001E-2</v>
      </c>
      <c r="U50" s="71">
        <v>9.0383649999999996E-2</v>
      </c>
      <c r="V50" s="71">
        <v>9.7935649E-2</v>
      </c>
      <c r="W50" s="71">
        <v>0.103622293</v>
      </c>
      <c r="X50" s="71">
        <v>0.107241867</v>
      </c>
      <c r="Y50" s="71">
        <v>0.110172029</v>
      </c>
      <c r="Z50" s="71">
        <v>6.3043400000000003E-3</v>
      </c>
      <c r="AA50" s="71">
        <v>1.0161633999999999E-2</v>
      </c>
      <c r="AB50" s="71">
        <v>1.8760709E-2</v>
      </c>
      <c r="AC50" s="71">
        <v>3.1779031999999999E-2</v>
      </c>
      <c r="AD50" s="71">
        <v>4.1855755000000001E-2</v>
      </c>
      <c r="AE50" s="71">
        <v>4.9946040999999997E-2</v>
      </c>
      <c r="AF50" s="71">
        <v>5.6913248E-2</v>
      </c>
      <c r="AG50" s="71">
        <v>4.9293591999999997E-2</v>
      </c>
      <c r="AH50" s="71">
        <v>5.3392317000000002E-2</v>
      </c>
      <c r="AI50" s="71">
        <v>6.4276598000000004E-2</v>
      </c>
      <c r="AJ50" s="71">
        <v>7.9544695999999998E-2</v>
      </c>
      <c r="AK50" s="71">
        <v>8.9163919999999994E-2</v>
      </c>
      <c r="AL50" s="71">
        <v>9.4599595999999994E-2</v>
      </c>
      <c r="AM50" s="71">
        <v>9.7188964000000003E-2</v>
      </c>
      <c r="AN50" s="71">
        <v>0.18224525499999999</v>
      </c>
      <c r="AO50" s="71">
        <v>-0.13273152199999999</v>
      </c>
      <c r="AP50" s="71">
        <v>0.72867037999999995</v>
      </c>
    </row>
    <row r="51" spans="1:42" x14ac:dyDescent="0.2">
      <c r="A51" t="s">
        <v>345</v>
      </c>
      <c r="B51" t="s">
        <v>129</v>
      </c>
      <c r="C51" t="s">
        <v>135</v>
      </c>
      <c r="D51" t="s">
        <v>134</v>
      </c>
      <c r="E51" s="71">
        <v>2.2567271999999999E-2</v>
      </c>
      <c r="F51" s="71">
        <v>2.8324008000000001E-2</v>
      </c>
      <c r="G51" s="71">
        <v>4.2238234999999999E-2</v>
      </c>
      <c r="H51" s="71">
        <v>6.2225819000000002E-2</v>
      </c>
      <c r="I51" s="71">
        <v>7.6011300000000004E-2</v>
      </c>
      <c r="J51" s="71">
        <v>8.5425019000000005E-2</v>
      </c>
      <c r="K51" s="71">
        <v>9.2064381000000001E-2</v>
      </c>
      <c r="L51" s="71">
        <v>-3.4122013999999999E-2</v>
      </c>
      <c r="M51" s="71">
        <v>-2.0910207E-2</v>
      </c>
      <c r="N51" s="71">
        <v>-2.3240320000000002E-3</v>
      </c>
      <c r="O51" s="71">
        <v>2.3058051E-2</v>
      </c>
      <c r="P51" s="71">
        <v>4.0466480999999999E-2</v>
      </c>
      <c r="Q51" s="71">
        <v>5.2368366E-2</v>
      </c>
      <c r="R51" s="71">
        <v>6.0812053999999997E-2</v>
      </c>
      <c r="S51" s="71">
        <v>8.2850677999999997E-2</v>
      </c>
      <c r="T51" s="71">
        <v>8.0803067000000006E-2</v>
      </c>
      <c r="U51" s="71">
        <v>8.8903652E-2</v>
      </c>
      <c r="V51" s="71">
        <v>0.10332647</v>
      </c>
      <c r="W51" s="71">
        <v>0.112944038</v>
      </c>
      <c r="X51" s="71">
        <v>0.119476546</v>
      </c>
      <c r="Y51" s="71">
        <v>0.124617427</v>
      </c>
      <c r="Z51" s="71">
        <v>2.7121099999999999E-4</v>
      </c>
      <c r="AA51" s="71">
        <v>7.8043310000000003E-3</v>
      </c>
      <c r="AB51" s="71">
        <v>2.0474143E-2</v>
      </c>
      <c r="AC51" s="71">
        <v>3.9832777999999999E-2</v>
      </c>
      <c r="AD51" s="71">
        <v>5.4018108000000002E-2</v>
      </c>
      <c r="AE51" s="71">
        <v>6.3744446999999996E-2</v>
      </c>
      <c r="AF51" s="71">
        <v>7.1553907E-2</v>
      </c>
      <c r="AG51" s="71">
        <v>4.5333536000000001E-2</v>
      </c>
      <c r="AH51" s="71">
        <v>4.9236073999999998E-2</v>
      </c>
      <c r="AI51" s="71">
        <v>6.4444441000000005E-2</v>
      </c>
      <c r="AJ51" s="71">
        <v>8.5084074999999995E-2</v>
      </c>
      <c r="AK51" s="71">
        <v>9.8449959000000004E-2</v>
      </c>
      <c r="AL51" s="71">
        <v>0.107536599</v>
      </c>
      <c r="AM51" s="71">
        <v>0.112958185</v>
      </c>
      <c r="AN51" s="71">
        <v>0.17603089199999999</v>
      </c>
      <c r="AO51" s="71">
        <v>-0.11066799099999999</v>
      </c>
      <c r="AP51" s="71">
        <v>0.71895052699999995</v>
      </c>
    </row>
    <row r="52" spans="1:42" x14ac:dyDescent="0.2">
      <c r="A52" t="s">
        <v>138</v>
      </c>
      <c r="B52" t="s">
        <v>129</v>
      </c>
      <c r="C52" t="s">
        <v>359</v>
      </c>
      <c r="D52" t="s">
        <v>162</v>
      </c>
      <c r="E52" s="71">
        <v>7.0864201000000002E-2</v>
      </c>
      <c r="F52" s="71">
        <v>7.0940851999999999E-2</v>
      </c>
      <c r="G52" s="75">
        <v>7.1068645E-2</v>
      </c>
      <c r="H52" s="71">
        <v>7.1111321000000005E-2</v>
      </c>
      <c r="I52" s="71">
        <v>7.1022748999999996E-2</v>
      </c>
      <c r="J52" s="71">
        <v>7.0893407000000006E-2</v>
      </c>
      <c r="K52" s="71">
        <v>7.0763706999999995E-2</v>
      </c>
      <c r="L52" s="71">
        <v>1.4314138000000001E-2</v>
      </c>
      <c r="M52" s="71">
        <v>1.9953551E-2</v>
      </c>
      <c r="N52" s="71">
        <v>2.336796E-2</v>
      </c>
      <c r="O52" s="71">
        <v>2.523978E-2</v>
      </c>
      <c r="P52" s="71">
        <v>2.6537697999999998E-2</v>
      </c>
      <c r="Q52" s="71">
        <v>2.8696293000000001E-2</v>
      </c>
      <c r="R52" s="71">
        <v>2.9622059999999999E-2</v>
      </c>
      <c r="S52" s="71">
        <v>0.130050464</v>
      </c>
      <c r="T52" s="71">
        <v>0.12381795</v>
      </c>
      <c r="U52" s="71">
        <v>0.121815479</v>
      </c>
      <c r="V52" s="71">
        <v>0.11872748700000001</v>
      </c>
      <c r="W52" s="71">
        <v>0.116958572</v>
      </c>
      <c r="X52" s="71">
        <v>0.115753391</v>
      </c>
      <c r="Y52" s="71">
        <v>0.113337811</v>
      </c>
      <c r="Z52" s="71">
        <v>4.9104982999999998E-2</v>
      </c>
      <c r="AA52" s="71">
        <v>4.7576506999999997E-2</v>
      </c>
      <c r="AB52" s="71">
        <v>4.1127770000000001E-2</v>
      </c>
      <c r="AC52" s="71">
        <v>3.6262930999999998E-2</v>
      </c>
      <c r="AD52" s="71">
        <v>3.5160531000000002E-2</v>
      </c>
      <c r="AE52" s="71">
        <v>3.5768494999999997E-2</v>
      </c>
      <c r="AF52" s="71">
        <v>3.6192634000000001E-2</v>
      </c>
      <c r="AG52" s="71">
        <v>9.3076325000000001E-2</v>
      </c>
      <c r="AH52" s="71">
        <v>9.4827837999999998E-2</v>
      </c>
      <c r="AI52" s="71">
        <v>0.101871846</v>
      </c>
      <c r="AJ52" s="71">
        <v>0.107132561</v>
      </c>
      <c r="AK52" s="71">
        <v>0.10812828400000001</v>
      </c>
      <c r="AL52" s="71">
        <v>0.107209872</v>
      </c>
      <c r="AM52" s="71">
        <v>0.10648872099999999</v>
      </c>
      <c r="AN52" s="71">
        <v>0.171797595</v>
      </c>
      <c r="AO52" s="71">
        <v>7.2089329999999998E-3</v>
      </c>
      <c r="AP52" s="71">
        <v>0.92014702599999998</v>
      </c>
    </row>
    <row r="53" spans="1:42" x14ac:dyDescent="0.2">
      <c r="A53" t="s">
        <v>288</v>
      </c>
      <c r="B53" t="s">
        <v>129</v>
      </c>
      <c r="C53" t="s">
        <v>133</v>
      </c>
      <c r="D53" t="s">
        <v>132</v>
      </c>
      <c r="E53" s="71">
        <v>4.8712492000000003E-2</v>
      </c>
      <c r="F53" s="71">
        <v>5.0532341000000001E-2</v>
      </c>
      <c r="G53" s="71">
        <v>5.4914473999999998E-2</v>
      </c>
      <c r="H53" s="71">
        <v>6.1142324999999997E-2</v>
      </c>
      <c r="I53" s="71">
        <v>6.5390348000000001E-2</v>
      </c>
      <c r="J53" s="71">
        <v>6.8269609999999994E-2</v>
      </c>
      <c r="K53" s="71">
        <v>7.0289850000000001E-2</v>
      </c>
      <c r="L53" s="71">
        <v>-2.1400439999999998E-3</v>
      </c>
      <c r="M53" s="71">
        <v>4.510521E-3</v>
      </c>
      <c r="N53" s="71">
        <v>1.3512398E-2</v>
      </c>
      <c r="O53" s="71">
        <v>2.3891798999999998E-2</v>
      </c>
      <c r="P53" s="71">
        <v>3.1075282999999999E-2</v>
      </c>
      <c r="Q53" s="71">
        <v>3.5831155000000003E-2</v>
      </c>
      <c r="R53" s="71">
        <v>4.004373E-2</v>
      </c>
      <c r="S53" s="71">
        <v>0.10316151699999999</v>
      </c>
      <c r="T53" s="71">
        <v>9.8419480000000004E-2</v>
      </c>
      <c r="U53" s="71">
        <v>9.8514904E-2</v>
      </c>
      <c r="V53" s="71">
        <v>9.9557357999999999E-2</v>
      </c>
      <c r="W53" s="71">
        <v>0.100081984</v>
      </c>
      <c r="X53" s="71">
        <v>0.1013169</v>
      </c>
      <c r="Y53" s="71">
        <v>0.101396974</v>
      </c>
      <c r="Z53" s="71">
        <v>2.258493E-2</v>
      </c>
      <c r="AA53" s="71">
        <v>2.4345648000000001E-2</v>
      </c>
      <c r="AB53" s="71">
        <v>2.7948838E-2</v>
      </c>
      <c r="AC53" s="71">
        <v>3.3333433000000003E-2</v>
      </c>
      <c r="AD53" s="71">
        <v>3.8017387999999999E-2</v>
      </c>
      <c r="AE53" s="71">
        <v>4.2497254999999998E-2</v>
      </c>
      <c r="AF53" s="71">
        <v>4.5114176999999998E-2</v>
      </c>
      <c r="AG53" s="71">
        <v>7.5507593999999997E-2</v>
      </c>
      <c r="AH53" s="71">
        <v>7.7388288E-2</v>
      </c>
      <c r="AI53" s="71">
        <v>8.2587631999999994E-2</v>
      </c>
      <c r="AJ53" s="71">
        <v>8.9699575000000004E-2</v>
      </c>
      <c r="AK53" s="71">
        <v>9.3485141999999993E-2</v>
      </c>
      <c r="AL53" s="71">
        <v>9.4679001999999998E-2</v>
      </c>
      <c r="AM53" s="71">
        <v>9.6071901000000001E-2</v>
      </c>
      <c r="AN53" s="71">
        <v>0.144482419</v>
      </c>
      <c r="AO53" s="71">
        <v>-0.174998814</v>
      </c>
      <c r="AP53" s="71">
        <v>0.90059111800000002</v>
      </c>
    </row>
    <row r="54" spans="1:42" x14ac:dyDescent="0.2">
      <c r="A54" t="s">
        <v>272</v>
      </c>
      <c r="B54" t="s">
        <v>129</v>
      </c>
      <c r="C54" t="s">
        <v>133</v>
      </c>
      <c r="D54" t="s">
        <v>132</v>
      </c>
      <c r="E54" s="71">
        <v>3.2446742000000001E-2</v>
      </c>
      <c r="F54" s="71">
        <v>3.4966825999999999E-2</v>
      </c>
      <c r="G54" s="71">
        <v>4.0938496999999997E-2</v>
      </c>
      <c r="H54" s="71">
        <v>4.9257278000000002E-2</v>
      </c>
      <c r="I54" s="71">
        <v>5.4842353000000003E-2</v>
      </c>
      <c r="J54" s="71">
        <v>5.8597802999999997E-2</v>
      </c>
      <c r="K54" s="71">
        <v>6.1223507000000003E-2</v>
      </c>
      <c r="L54" s="71">
        <v>-2.1161694000000002E-2</v>
      </c>
      <c r="M54" s="71">
        <v>-1.1466217000000001E-2</v>
      </c>
      <c r="N54" s="71">
        <v>-1.1521319999999999E-3</v>
      </c>
      <c r="O54" s="71">
        <v>1.0970054999999999E-2</v>
      </c>
      <c r="P54" s="71">
        <v>1.8799546E-2</v>
      </c>
      <c r="Q54" s="71">
        <v>2.4917913999999999E-2</v>
      </c>
      <c r="R54" s="71">
        <v>2.9631421000000002E-2</v>
      </c>
      <c r="S54" s="71">
        <v>8.8683481999999994E-2</v>
      </c>
      <c r="T54" s="71">
        <v>8.3999280999999995E-2</v>
      </c>
      <c r="U54" s="71">
        <v>8.5109387999999994E-2</v>
      </c>
      <c r="V54" s="71">
        <v>8.9018252000000006E-2</v>
      </c>
      <c r="W54" s="71">
        <v>9.0962018000000006E-2</v>
      </c>
      <c r="X54" s="71">
        <v>9.3064826000000003E-2</v>
      </c>
      <c r="Y54" s="71">
        <v>9.4196782000000007E-2</v>
      </c>
      <c r="Z54" s="71">
        <v>6.0061410000000004E-3</v>
      </c>
      <c r="AA54" s="71">
        <v>9.4948889999999994E-3</v>
      </c>
      <c r="AB54" s="71">
        <v>1.399325E-2</v>
      </c>
      <c r="AC54" s="71">
        <v>2.1051195000000002E-2</v>
      </c>
      <c r="AD54" s="71">
        <v>2.6492939E-2</v>
      </c>
      <c r="AE54" s="71">
        <v>3.1575341E-2</v>
      </c>
      <c r="AF54" s="71">
        <v>3.4868357000000003E-2</v>
      </c>
      <c r="AG54" s="71">
        <v>5.9582335E-2</v>
      </c>
      <c r="AH54" s="71">
        <v>6.1081539999999997E-2</v>
      </c>
      <c r="AI54" s="71">
        <v>6.8599848000000005E-2</v>
      </c>
      <c r="AJ54" s="71">
        <v>7.8242384999999998E-2</v>
      </c>
      <c r="AK54" s="71">
        <v>8.3974696000000001E-2</v>
      </c>
      <c r="AL54" s="71">
        <v>8.6328119999999994E-2</v>
      </c>
      <c r="AM54" s="71">
        <v>8.8249723000000002E-2</v>
      </c>
      <c r="AN54" s="71">
        <v>0.15432047300000001</v>
      </c>
      <c r="AO54" s="71">
        <v>-8.9124362999999998E-2</v>
      </c>
      <c r="AP54" s="71">
        <v>0.90892553200000004</v>
      </c>
    </row>
    <row r="55" spans="1:42" x14ac:dyDescent="0.2">
      <c r="A55" t="s">
        <v>178</v>
      </c>
      <c r="B55" t="s">
        <v>129</v>
      </c>
      <c r="C55" t="s">
        <v>133</v>
      </c>
      <c r="D55" t="s">
        <v>132</v>
      </c>
      <c r="E55" s="71">
        <v>3.8431764E-2</v>
      </c>
      <c r="F55" s="71">
        <v>4.1152239E-2</v>
      </c>
      <c r="G55" s="71">
        <v>4.7411083999999999E-2</v>
      </c>
      <c r="H55" s="71">
        <v>5.5926442E-2</v>
      </c>
      <c r="I55" s="71">
        <v>6.1587929999999999E-2</v>
      </c>
      <c r="J55" s="71">
        <v>6.5387607E-2</v>
      </c>
      <c r="K55" s="71">
        <v>6.8043946999999994E-2</v>
      </c>
      <c r="L55" s="71">
        <v>-1.6616270999999998E-2</v>
      </c>
      <c r="M55" s="71">
        <v>-7.6356849999999997E-3</v>
      </c>
      <c r="N55" s="71">
        <v>3.2595660000000002E-3</v>
      </c>
      <c r="O55" s="71">
        <v>1.5969100999999999E-2</v>
      </c>
      <c r="P55" s="71">
        <v>2.4108518999999998E-2</v>
      </c>
      <c r="Q55" s="71">
        <v>3.0791071999999999E-2</v>
      </c>
      <c r="R55" s="71">
        <v>3.5051129E-2</v>
      </c>
      <c r="S55" s="71">
        <v>9.6079982999999994E-2</v>
      </c>
      <c r="T55" s="71">
        <v>9.2222568000000005E-2</v>
      </c>
      <c r="U55" s="71">
        <v>9.3477727999999996E-2</v>
      </c>
      <c r="V55" s="71">
        <v>9.7437098999999999E-2</v>
      </c>
      <c r="W55" s="71">
        <v>0.10045461999999999</v>
      </c>
      <c r="X55" s="71">
        <v>0.101351081</v>
      </c>
      <c r="Y55" s="71">
        <v>0.101969031</v>
      </c>
      <c r="Z55" s="71">
        <v>9.7642549999999995E-3</v>
      </c>
      <c r="AA55" s="71">
        <v>1.3791754999999999E-2</v>
      </c>
      <c r="AB55" s="71">
        <v>1.8027527000000002E-2</v>
      </c>
      <c r="AC55" s="71">
        <v>2.5473740000000002E-2</v>
      </c>
      <c r="AD55" s="71">
        <v>3.3270032999999997E-2</v>
      </c>
      <c r="AE55" s="71">
        <v>3.7265340000000001E-2</v>
      </c>
      <c r="AF55" s="71">
        <v>4.0891371000000003E-2</v>
      </c>
      <c r="AG55" s="71">
        <v>6.7912929999999996E-2</v>
      </c>
      <c r="AH55" s="71">
        <v>6.9251080000000007E-2</v>
      </c>
      <c r="AI55" s="71">
        <v>7.7642551000000004E-2</v>
      </c>
      <c r="AJ55" s="71">
        <v>8.7283595000000005E-2</v>
      </c>
      <c r="AK55" s="71">
        <v>9.0681911000000004E-2</v>
      </c>
      <c r="AL55" s="71">
        <v>9.4272394999999995E-2</v>
      </c>
      <c r="AM55" s="71">
        <v>9.5904903E-2</v>
      </c>
      <c r="AN55" s="71">
        <v>0.15666690799999999</v>
      </c>
      <c r="AO55" s="71">
        <v>-0.21061729100000001</v>
      </c>
      <c r="AP55" s="71">
        <v>0.92110871000000005</v>
      </c>
    </row>
    <row r="56" spans="1:42" x14ac:dyDescent="0.2">
      <c r="A56" t="s">
        <v>191</v>
      </c>
      <c r="B56" t="s">
        <v>129</v>
      </c>
      <c r="C56" t="s">
        <v>133</v>
      </c>
      <c r="D56" t="s">
        <v>132</v>
      </c>
      <c r="E56" s="71">
        <v>5.9366345000000001E-2</v>
      </c>
      <c r="F56" s="71">
        <v>6.1586380000000003E-2</v>
      </c>
      <c r="G56" s="71">
        <v>6.7217231000000002E-2</v>
      </c>
      <c r="H56" s="71">
        <v>7.5698613999999997E-2</v>
      </c>
      <c r="I56" s="71">
        <v>8.1738353E-2</v>
      </c>
      <c r="J56" s="71">
        <v>8.5921168000000006E-2</v>
      </c>
      <c r="K56" s="71">
        <v>8.8886857E-2</v>
      </c>
      <c r="L56" s="71">
        <v>1.8756269999999999E-3</v>
      </c>
      <c r="M56" s="71">
        <v>1.199389E-2</v>
      </c>
      <c r="N56" s="71">
        <v>2.1298978999999999E-2</v>
      </c>
      <c r="O56" s="71">
        <v>3.4785400000000001E-2</v>
      </c>
      <c r="P56" s="71">
        <v>4.3485270999999999E-2</v>
      </c>
      <c r="Q56" s="71">
        <v>5.0224179000000001E-2</v>
      </c>
      <c r="R56" s="71">
        <v>5.5684091999999998E-2</v>
      </c>
      <c r="S56" s="71">
        <v>0.11973359</v>
      </c>
      <c r="T56" s="71">
        <v>0.11491581300000001</v>
      </c>
      <c r="U56" s="71">
        <v>0.114833674</v>
      </c>
      <c r="V56" s="71">
        <v>0.11799810400000001</v>
      </c>
      <c r="W56" s="71">
        <v>0.121172138</v>
      </c>
      <c r="X56" s="71">
        <v>0.12269874</v>
      </c>
      <c r="Y56" s="71">
        <v>0.12324928</v>
      </c>
      <c r="Z56" s="71">
        <v>3.1280072999999999E-2</v>
      </c>
      <c r="AA56" s="71">
        <v>3.4235459000000003E-2</v>
      </c>
      <c r="AB56" s="71">
        <v>4.0124535000000003E-2</v>
      </c>
      <c r="AC56" s="71">
        <v>4.6996713000000002E-2</v>
      </c>
      <c r="AD56" s="71">
        <v>5.3704718999999998E-2</v>
      </c>
      <c r="AE56" s="71">
        <v>5.8365221000000002E-2</v>
      </c>
      <c r="AF56" s="71">
        <v>6.1970353999999998E-2</v>
      </c>
      <c r="AG56" s="71">
        <v>8.8217518999999994E-2</v>
      </c>
      <c r="AH56" s="71">
        <v>8.9660646999999996E-2</v>
      </c>
      <c r="AI56" s="71">
        <v>9.5015732000000006E-2</v>
      </c>
      <c r="AJ56" s="71">
        <v>0.10518744200000001</v>
      </c>
      <c r="AK56" s="71">
        <v>0.110517721</v>
      </c>
      <c r="AL56" s="71">
        <v>0.114194452</v>
      </c>
      <c r="AM56" s="71">
        <v>0.116485512</v>
      </c>
      <c r="AN56" s="71">
        <v>0.16099871900000001</v>
      </c>
      <c r="AO56" s="71">
        <v>-5.8093723999999999E-2</v>
      </c>
      <c r="AP56" s="71">
        <v>0.91981943499999996</v>
      </c>
    </row>
    <row r="57" spans="1:42" x14ac:dyDescent="0.2">
      <c r="A57" t="s">
        <v>254</v>
      </c>
      <c r="B57" t="s">
        <v>129</v>
      </c>
      <c r="C57" t="s">
        <v>133</v>
      </c>
      <c r="D57" t="s">
        <v>132</v>
      </c>
      <c r="E57" s="71">
        <v>3.6415338999999998E-2</v>
      </c>
      <c r="F57" s="71">
        <v>3.966248E-2</v>
      </c>
      <c r="G57" s="71">
        <v>4.7213315999999998E-2</v>
      </c>
      <c r="H57" s="71">
        <v>5.7442545999999997E-2</v>
      </c>
      <c r="I57" s="71">
        <v>6.4123631E-2</v>
      </c>
      <c r="J57" s="71">
        <v>6.8538665999999998E-2</v>
      </c>
      <c r="K57" s="71">
        <v>7.1595907E-2</v>
      </c>
      <c r="L57" s="71">
        <v>-2.7756969999999999E-2</v>
      </c>
      <c r="M57" s="71">
        <v>-1.6771327999999999E-2</v>
      </c>
      <c r="N57" s="71">
        <v>-4.2548229999999996E-3</v>
      </c>
      <c r="O57" s="71">
        <v>1.0750002999999999E-2</v>
      </c>
      <c r="P57" s="71">
        <v>2.1374193E-2</v>
      </c>
      <c r="Q57" s="71">
        <v>2.8417164000000002E-2</v>
      </c>
      <c r="R57" s="71">
        <v>3.4717791999999997E-2</v>
      </c>
      <c r="S57" s="71">
        <v>0.105367892</v>
      </c>
      <c r="T57" s="71">
        <v>9.8682258999999994E-2</v>
      </c>
      <c r="U57" s="71">
        <v>0.101386302</v>
      </c>
      <c r="V57" s="71">
        <v>0.10578992800000001</v>
      </c>
      <c r="W57" s="71">
        <v>0.108860371</v>
      </c>
      <c r="X57" s="71">
        <v>0.109681396</v>
      </c>
      <c r="Y57" s="71">
        <v>0.110594531</v>
      </c>
      <c r="Z57" s="71">
        <v>8.7475000000000001E-3</v>
      </c>
      <c r="AA57" s="71">
        <v>1.3695334E-2</v>
      </c>
      <c r="AB57" s="71">
        <v>1.8908244000000001E-2</v>
      </c>
      <c r="AC57" s="71">
        <v>2.7491888999999999E-2</v>
      </c>
      <c r="AD57" s="71">
        <v>3.4383564999999998E-2</v>
      </c>
      <c r="AE57" s="71">
        <v>3.8271511000000001E-2</v>
      </c>
      <c r="AF57" s="71">
        <v>4.1754119999999999E-2</v>
      </c>
      <c r="AG57" s="71">
        <v>6.4842110999999994E-2</v>
      </c>
      <c r="AH57" s="71">
        <v>6.6294987999999999E-2</v>
      </c>
      <c r="AI57" s="71">
        <v>7.6304656999999998E-2</v>
      </c>
      <c r="AJ57" s="71">
        <v>8.8266171000000004E-2</v>
      </c>
      <c r="AK57" s="71">
        <v>9.4718883000000004E-2</v>
      </c>
      <c r="AL57" s="71">
        <v>9.9688103E-2</v>
      </c>
      <c r="AM57" s="71">
        <v>0.102292627</v>
      </c>
      <c r="AN57" s="71">
        <v>0.19120084400000001</v>
      </c>
      <c r="AO57" s="71">
        <v>-0.15549495099999999</v>
      </c>
      <c r="AP57" s="71">
        <v>0.94393890599999997</v>
      </c>
    </row>
    <row r="58" spans="1:42" x14ac:dyDescent="0.2">
      <c r="A58" t="s">
        <v>103</v>
      </c>
      <c r="B58" t="s">
        <v>129</v>
      </c>
      <c r="C58" t="s">
        <v>133</v>
      </c>
      <c r="D58" t="s">
        <v>132</v>
      </c>
      <c r="E58" s="71">
        <v>7.0219277999999996E-2</v>
      </c>
      <c r="F58" s="71">
        <v>7.2149514999999997E-2</v>
      </c>
      <c r="G58" s="71">
        <v>7.6982379000000004E-2</v>
      </c>
      <c r="H58" s="71">
        <v>8.4173321999999995E-2</v>
      </c>
      <c r="I58" s="71">
        <v>8.9259267000000003E-2</v>
      </c>
      <c r="J58" s="71">
        <v>9.2773795000000006E-2</v>
      </c>
      <c r="K58" s="71">
        <v>9.5263957999999996E-2</v>
      </c>
      <c r="L58" s="71">
        <v>3.9508980000000004E-3</v>
      </c>
      <c r="M58" s="71">
        <v>1.3941937E-2</v>
      </c>
      <c r="N58" s="71">
        <v>2.5368077999999999E-2</v>
      </c>
      <c r="O58" s="71">
        <v>3.7355395E-2</v>
      </c>
      <c r="P58" s="71">
        <v>4.5818945E-2</v>
      </c>
      <c r="Q58" s="71">
        <v>5.2827959000000001E-2</v>
      </c>
      <c r="R58" s="71">
        <v>5.7742139999999997E-2</v>
      </c>
      <c r="S58" s="71">
        <v>0.139572002</v>
      </c>
      <c r="T58" s="71">
        <v>0.134245172</v>
      </c>
      <c r="U58" s="71">
        <v>0.13161932100000001</v>
      </c>
      <c r="V58" s="71">
        <v>0.133368345</v>
      </c>
      <c r="W58" s="71">
        <v>0.133845939</v>
      </c>
      <c r="X58" s="71">
        <v>0.1347032</v>
      </c>
      <c r="Y58" s="71">
        <v>0.13441033799999999</v>
      </c>
      <c r="Z58" s="71">
        <v>3.5518408000000001E-2</v>
      </c>
      <c r="AA58" s="71">
        <v>3.8588203000000001E-2</v>
      </c>
      <c r="AB58" s="71">
        <v>4.3670750000000001E-2</v>
      </c>
      <c r="AC58" s="71">
        <v>4.8674779000000001E-2</v>
      </c>
      <c r="AD58" s="71">
        <v>5.5529386E-2</v>
      </c>
      <c r="AE58" s="71">
        <v>6.2252745999999998E-2</v>
      </c>
      <c r="AF58" s="71">
        <v>6.6834318000000004E-2</v>
      </c>
      <c r="AG58" s="71">
        <v>0.10608302999999999</v>
      </c>
      <c r="AH58" s="71">
        <v>0.106795521</v>
      </c>
      <c r="AI58" s="71">
        <v>0.11135714100000001</v>
      </c>
      <c r="AJ58" s="71">
        <v>0.12087329099999999</v>
      </c>
      <c r="AK58" s="71">
        <v>0.124067082</v>
      </c>
      <c r="AL58" s="71">
        <v>0.12417181200000001</v>
      </c>
      <c r="AM58" s="71">
        <v>0.124451114</v>
      </c>
      <c r="AN58" s="71">
        <v>0.18155016600000001</v>
      </c>
      <c r="AO58" s="71">
        <v>-0.102245214</v>
      </c>
      <c r="AP58" s="71">
        <v>0.93911513999999996</v>
      </c>
    </row>
    <row r="59" spans="1:42" x14ac:dyDescent="0.2">
      <c r="A59" t="s">
        <v>214</v>
      </c>
      <c r="B59" t="s">
        <v>129</v>
      </c>
      <c r="C59" t="s">
        <v>133</v>
      </c>
      <c r="D59" t="s">
        <v>132</v>
      </c>
      <c r="E59" s="71">
        <v>5.1862955000000002E-2</v>
      </c>
      <c r="F59" s="71">
        <v>5.3142427999999999E-2</v>
      </c>
      <c r="G59" s="71">
        <v>5.6266427000000001E-2</v>
      </c>
      <c r="H59" s="71">
        <v>6.0794711000000001E-2</v>
      </c>
      <c r="I59" s="71">
        <v>6.3949226999999997E-2</v>
      </c>
      <c r="J59" s="71">
        <v>6.6121816999999999E-2</v>
      </c>
      <c r="K59" s="71">
        <v>6.7663192999999996E-2</v>
      </c>
      <c r="L59" s="71">
        <v>-1.2543155E-2</v>
      </c>
      <c r="M59" s="71">
        <v>-3.114281E-3</v>
      </c>
      <c r="N59" s="71">
        <v>5.2357580000000001E-3</v>
      </c>
      <c r="O59" s="71">
        <v>1.4231297E-2</v>
      </c>
      <c r="P59" s="71">
        <v>2.1210884999999999E-2</v>
      </c>
      <c r="Q59" s="71">
        <v>2.5725405E-2</v>
      </c>
      <c r="R59" s="71">
        <v>2.9496910000000001E-2</v>
      </c>
      <c r="S59" s="71">
        <v>0.121148648</v>
      </c>
      <c r="T59" s="71">
        <v>0.11319363</v>
      </c>
      <c r="U59" s="71">
        <v>0.11008404300000001</v>
      </c>
      <c r="V59" s="71">
        <v>0.108653386</v>
      </c>
      <c r="W59" s="71">
        <v>0.108984185</v>
      </c>
      <c r="X59" s="71">
        <v>0.10788785200000001</v>
      </c>
      <c r="Y59" s="71">
        <v>0.107488949</v>
      </c>
      <c r="Z59" s="71">
        <v>2.7199465999999999E-2</v>
      </c>
      <c r="AA59" s="71">
        <v>2.7142197999999999E-2</v>
      </c>
      <c r="AB59" s="71">
        <v>2.6100226000000001E-2</v>
      </c>
      <c r="AC59" s="71">
        <v>3.0008973000000001E-2</v>
      </c>
      <c r="AD59" s="71">
        <v>3.3974509999999999E-2</v>
      </c>
      <c r="AE59" s="71">
        <v>3.7029685999999999E-2</v>
      </c>
      <c r="AF59" s="71">
        <v>4.0420088999999999E-2</v>
      </c>
      <c r="AG59" s="71">
        <v>7.7118738000000006E-2</v>
      </c>
      <c r="AH59" s="71">
        <v>7.9800815999999997E-2</v>
      </c>
      <c r="AI59" s="71">
        <v>8.7319568E-2</v>
      </c>
      <c r="AJ59" s="71">
        <v>9.2500552999999999E-2</v>
      </c>
      <c r="AK59" s="71">
        <v>9.4792897000000001E-2</v>
      </c>
      <c r="AL59" s="71">
        <v>9.6029920000000005E-2</v>
      </c>
      <c r="AM59" s="71">
        <v>9.5619544000000001E-2</v>
      </c>
      <c r="AN59" s="71">
        <v>0.19439556499999999</v>
      </c>
      <c r="AO59" s="71">
        <v>-9.2524092000000002E-2</v>
      </c>
      <c r="AP59" s="71">
        <v>0.94640440000000003</v>
      </c>
    </row>
    <row r="60" spans="1:42" x14ac:dyDescent="0.2">
      <c r="A60" t="s">
        <v>164</v>
      </c>
      <c r="B60" t="s">
        <v>129</v>
      </c>
      <c r="C60" t="s">
        <v>133</v>
      </c>
      <c r="D60" t="s">
        <v>132</v>
      </c>
      <c r="E60" s="71">
        <v>3.0908941999999998E-2</v>
      </c>
      <c r="F60" s="71">
        <v>3.3200383E-2</v>
      </c>
      <c r="G60" s="71">
        <v>3.8821936000000001E-2</v>
      </c>
      <c r="H60" s="71">
        <v>4.7033310000000002E-2</v>
      </c>
      <c r="I60" s="71">
        <v>5.2799939999999997E-2</v>
      </c>
      <c r="J60" s="71">
        <v>5.6795000999999998E-2</v>
      </c>
      <c r="K60" s="71">
        <v>5.9641122999999997E-2</v>
      </c>
      <c r="L60" s="71">
        <v>-2.6585040000000001E-2</v>
      </c>
      <c r="M60" s="71">
        <v>-1.7353769000000002E-2</v>
      </c>
      <c r="N60" s="71">
        <v>-6.5788490000000003E-3</v>
      </c>
      <c r="O60" s="71">
        <v>5.3534990000000003E-3</v>
      </c>
      <c r="P60" s="71">
        <v>1.3976916000000001E-2</v>
      </c>
      <c r="Q60" s="71">
        <v>2.0591801E-2</v>
      </c>
      <c r="R60" s="71">
        <v>2.6113688999999999E-2</v>
      </c>
      <c r="S60" s="71">
        <v>9.1699085999999999E-2</v>
      </c>
      <c r="T60" s="71">
        <v>8.5472910999999999E-2</v>
      </c>
      <c r="U60" s="71">
        <v>8.6391467999999999E-2</v>
      </c>
      <c r="V60" s="71">
        <v>8.9819088000000005E-2</v>
      </c>
      <c r="W60" s="71">
        <v>9.3230750000000001E-2</v>
      </c>
      <c r="X60" s="71">
        <v>9.4067674000000004E-2</v>
      </c>
      <c r="Y60" s="71">
        <v>9.4360740999999998E-2</v>
      </c>
      <c r="Z60" s="71">
        <v>7.674831E-3</v>
      </c>
      <c r="AA60" s="71">
        <v>8.5408159999999997E-3</v>
      </c>
      <c r="AB60" s="71">
        <v>1.1381996E-2</v>
      </c>
      <c r="AC60" s="71">
        <v>1.7009007E-2</v>
      </c>
      <c r="AD60" s="71">
        <v>2.3518365999999999E-2</v>
      </c>
      <c r="AE60" s="71">
        <v>2.8757086000000001E-2</v>
      </c>
      <c r="AF60" s="71">
        <v>3.3326055E-2</v>
      </c>
      <c r="AG60" s="71">
        <v>5.4678582000000003E-2</v>
      </c>
      <c r="AH60" s="71">
        <v>5.8462689999999998E-2</v>
      </c>
      <c r="AI60" s="71">
        <v>6.7006441999999999E-2</v>
      </c>
      <c r="AJ60" s="71">
        <v>7.7943862000000003E-2</v>
      </c>
      <c r="AK60" s="71">
        <v>8.2919264000000006E-2</v>
      </c>
      <c r="AL60" s="71">
        <v>8.5597029000000005E-2</v>
      </c>
      <c r="AM60" s="71">
        <v>8.6626154999999996E-2</v>
      </c>
      <c r="AN60" s="71">
        <v>0.173014899</v>
      </c>
      <c r="AO60" s="71">
        <v>-0.15583169499999999</v>
      </c>
      <c r="AP60" s="71">
        <v>0.93092482399999998</v>
      </c>
    </row>
    <row r="61" spans="1:42" x14ac:dyDescent="0.2">
      <c r="A61" t="s">
        <v>345</v>
      </c>
      <c r="B61" t="s">
        <v>129</v>
      </c>
      <c r="C61" t="s">
        <v>133</v>
      </c>
      <c r="D61" t="s">
        <v>132</v>
      </c>
      <c r="E61" s="71">
        <v>2.5872468999999999E-2</v>
      </c>
      <c r="F61" s="71">
        <v>2.9955982999999999E-2</v>
      </c>
      <c r="G61" s="71">
        <v>3.977704E-2</v>
      </c>
      <c r="H61" s="71">
        <v>5.3804874000000003E-2</v>
      </c>
      <c r="I61" s="71">
        <v>6.3431620999999994E-2</v>
      </c>
      <c r="J61" s="71">
        <v>6.9984078000000005E-2</v>
      </c>
      <c r="K61" s="71">
        <v>7.4594974999999994E-2</v>
      </c>
      <c r="L61" s="71">
        <v>-3.2402848999999997E-2</v>
      </c>
      <c r="M61" s="71">
        <v>-2.1295861999999999E-2</v>
      </c>
      <c r="N61" s="71">
        <v>-7.3449220000000003E-3</v>
      </c>
      <c r="O61" s="71">
        <v>1.1269941E-2</v>
      </c>
      <c r="P61" s="71">
        <v>2.4107264999999999E-2</v>
      </c>
      <c r="Q61" s="71">
        <v>3.346056E-2</v>
      </c>
      <c r="R61" s="71">
        <v>3.9796072000000002E-2</v>
      </c>
      <c r="S61" s="71">
        <v>8.7616880999999994E-2</v>
      </c>
      <c r="T61" s="71">
        <v>8.4367557999999995E-2</v>
      </c>
      <c r="U61" s="71">
        <v>8.8776832999999999E-2</v>
      </c>
      <c r="V61" s="71">
        <v>9.8478769999999993E-2</v>
      </c>
      <c r="W61" s="71">
        <v>0.10429883400000001</v>
      </c>
      <c r="X61" s="71">
        <v>0.108964398</v>
      </c>
      <c r="Y61" s="71">
        <v>0.111079281</v>
      </c>
      <c r="Z61" s="71">
        <v>-2.6132299999999999E-4</v>
      </c>
      <c r="AA61" s="71">
        <v>4.2224250000000001E-3</v>
      </c>
      <c r="AB61" s="71">
        <v>1.1688784000000001E-2</v>
      </c>
      <c r="AC61" s="71">
        <v>2.4764998E-2</v>
      </c>
      <c r="AD61" s="71">
        <v>3.5345166999999997E-2</v>
      </c>
      <c r="AE61" s="71">
        <v>4.2483451999999998E-2</v>
      </c>
      <c r="AF61" s="71">
        <v>4.7595922999999998E-2</v>
      </c>
      <c r="AG61" s="71">
        <v>5.2689381E-2</v>
      </c>
      <c r="AH61" s="71">
        <v>5.6349067000000003E-2</v>
      </c>
      <c r="AI61" s="71">
        <v>6.8645241999999995E-2</v>
      </c>
      <c r="AJ61" s="71">
        <v>8.3667807999999996E-2</v>
      </c>
      <c r="AK61" s="71">
        <v>9.2280103000000002E-2</v>
      </c>
      <c r="AL61" s="71">
        <v>9.8210035000000001E-2</v>
      </c>
      <c r="AM61" s="71">
        <v>0.10228983699999999</v>
      </c>
      <c r="AN61" s="71">
        <v>0.174689492</v>
      </c>
      <c r="AO61" s="71">
        <v>-0.12738316399999999</v>
      </c>
      <c r="AP61" s="71">
        <v>0.93224028000000003</v>
      </c>
    </row>
    <row r="62" spans="1:42" s="77" customFormat="1" x14ac:dyDescent="0.2">
      <c r="A62" s="77" t="s">
        <v>200</v>
      </c>
      <c r="B62" s="77" t="s">
        <v>129</v>
      </c>
      <c r="C62" s="77" t="s">
        <v>177</v>
      </c>
      <c r="D62" s="77" t="s">
        <v>176</v>
      </c>
      <c r="E62" s="80">
        <v>6.7325949999999996E-2</v>
      </c>
      <c r="F62" s="80">
        <v>6.5043688000000002E-2</v>
      </c>
      <c r="G62" s="80">
        <v>5.9381484999999998E-2</v>
      </c>
      <c r="H62" s="80">
        <v>5.1154256000000002E-2</v>
      </c>
      <c r="I62" s="80">
        <v>4.5494198999999999E-2</v>
      </c>
      <c r="J62" s="80">
        <v>4.1657448E-2</v>
      </c>
      <c r="K62" s="80">
        <v>3.8970946999999999E-2</v>
      </c>
      <c r="L62" s="80">
        <v>-9.914941E-3</v>
      </c>
      <c r="M62" s="80">
        <v>-8.8517390000000008E-3</v>
      </c>
      <c r="N62" s="80">
        <v>-1.7363379000000002E-2</v>
      </c>
      <c r="O62" s="80">
        <v>-2.7652725E-2</v>
      </c>
      <c r="P62" s="80">
        <v>-3.0559161000000001E-2</v>
      </c>
      <c r="Q62" s="80">
        <v>-3.2183272999999998E-2</v>
      </c>
      <c r="R62" s="80">
        <v>-3.1899975999999997E-2</v>
      </c>
      <c r="S62" s="80">
        <v>0.14971216000000001</v>
      </c>
      <c r="T62" s="80">
        <v>0.14274445599999999</v>
      </c>
      <c r="U62" s="80">
        <v>0.141835775</v>
      </c>
      <c r="V62" s="80">
        <v>0.135703142</v>
      </c>
      <c r="W62" s="80">
        <v>0.128246891</v>
      </c>
      <c r="X62" s="80">
        <v>0.12110678699999999</v>
      </c>
      <c r="Y62" s="80">
        <v>0.114040444</v>
      </c>
      <c r="Z62" s="80">
        <v>7.6066190000000002E-3</v>
      </c>
      <c r="AA62" s="80">
        <v>4.5539719999999999E-3</v>
      </c>
      <c r="AB62" s="80">
        <v>-6.8119039999999997E-3</v>
      </c>
      <c r="AC62" s="80">
        <v>-1.9180942999999999E-2</v>
      </c>
      <c r="AD62" s="80">
        <v>-2.7165261E-2</v>
      </c>
      <c r="AE62" s="80">
        <v>-2.7577777000000001E-2</v>
      </c>
      <c r="AF62" s="80">
        <v>-2.8915360000000001E-2</v>
      </c>
      <c r="AG62" s="80">
        <v>0.13058478700000001</v>
      </c>
      <c r="AH62" s="80">
        <v>0.12917563000000001</v>
      </c>
      <c r="AI62" s="80">
        <v>0.129986343</v>
      </c>
      <c r="AJ62" s="80">
        <v>0.12653314099999999</v>
      </c>
      <c r="AK62" s="80">
        <v>0.123580598</v>
      </c>
      <c r="AL62" s="80">
        <v>0.115821937</v>
      </c>
      <c r="AM62" s="80">
        <v>0.11160278899999999</v>
      </c>
      <c r="AN62" s="80">
        <v>0.17029346300000001</v>
      </c>
      <c r="AO62" s="80">
        <v>-0.217252469</v>
      </c>
      <c r="AP62" s="80">
        <v>0.63329790500000005</v>
      </c>
    </row>
    <row r="63" spans="1:42" x14ac:dyDescent="0.2">
      <c r="A63" t="s">
        <v>214</v>
      </c>
      <c r="B63" t="s">
        <v>129</v>
      </c>
      <c r="C63" t="s">
        <v>177</v>
      </c>
      <c r="D63" t="s">
        <v>176</v>
      </c>
      <c r="E63" s="71">
        <v>0.10397017</v>
      </c>
      <c r="F63" s="71">
        <v>0.100511432</v>
      </c>
      <c r="G63" s="71">
        <v>9.2270613000000001E-2</v>
      </c>
      <c r="H63" s="71">
        <v>8.0792307999999993E-2</v>
      </c>
      <c r="I63" s="71">
        <v>7.3131919000000004E-2</v>
      </c>
      <c r="J63" s="71">
        <v>6.8022251000000006E-2</v>
      </c>
      <c r="K63" s="71">
        <v>6.4477086000000003E-2</v>
      </c>
      <c r="L63" s="71">
        <v>2.6328001E-2</v>
      </c>
      <c r="M63" s="71">
        <v>2.6450198000000001E-2</v>
      </c>
      <c r="N63" s="71">
        <v>1.4501017E-2</v>
      </c>
      <c r="O63" s="71">
        <v>1.030134E-3</v>
      </c>
      <c r="P63" s="71">
        <v>-3.9091550000000001E-3</v>
      </c>
      <c r="Q63" s="71">
        <v>-5.1278160000000003E-3</v>
      </c>
      <c r="R63" s="71">
        <v>-5.3135420000000001E-3</v>
      </c>
      <c r="S63" s="71">
        <v>0.18807912500000001</v>
      </c>
      <c r="T63" s="71">
        <v>0.18042422799999999</v>
      </c>
      <c r="U63" s="71">
        <v>0.17519168199999999</v>
      </c>
      <c r="V63" s="71">
        <v>0.16760112399999999</v>
      </c>
      <c r="W63" s="71">
        <v>0.15525892099999999</v>
      </c>
      <c r="X63" s="71">
        <v>0.146071585</v>
      </c>
      <c r="Y63" s="71">
        <v>0.13891235599999999</v>
      </c>
      <c r="Z63" s="71">
        <v>4.5659440000000003E-2</v>
      </c>
      <c r="AA63" s="71">
        <v>3.9273377999999998E-2</v>
      </c>
      <c r="AB63" s="71">
        <v>2.2518390999999999E-2</v>
      </c>
      <c r="AC63" s="71">
        <v>5.574987E-3</v>
      </c>
      <c r="AD63" s="71">
        <v>-3.4696269999999999E-3</v>
      </c>
      <c r="AE63" s="71">
        <v>-4.1929549999999999E-3</v>
      </c>
      <c r="AF63" s="71">
        <v>-4.9689479999999999E-3</v>
      </c>
      <c r="AG63" s="71">
        <v>0.16553273900000001</v>
      </c>
      <c r="AH63" s="71">
        <v>0.16535776499999999</v>
      </c>
      <c r="AI63" s="71">
        <v>0.166781073</v>
      </c>
      <c r="AJ63" s="71">
        <v>0.16163593400000001</v>
      </c>
      <c r="AK63" s="71">
        <v>0.155621754</v>
      </c>
      <c r="AL63" s="71">
        <v>0.14547469199999999</v>
      </c>
      <c r="AM63" s="71">
        <v>0.138770001</v>
      </c>
      <c r="AN63" s="71">
        <v>0.161540981</v>
      </c>
      <c r="AO63" s="71">
        <v>1.6060057999999999E-2</v>
      </c>
      <c r="AP63" s="71">
        <v>0.65071762899999996</v>
      </c>
    </row>
    <row r="64" spans="1:42" x14ac:dyDescent="0.2">
      <c r="A64" t="s">
        <v>164</v>
      </c>
      <c r="B64" t="s">
        <v>129</v>
      </c>
      <c r="C64" t="s">
        <v>177</v>
      </c>
      <c r="D64" t="s">
        <v>176</v>
      </c>
      <c r="E64" s="71">
        <v>8.1978082999999993E-2</v>
      </c>
      <c r="F64" s="71">
        <v>7.9672336999999996E-2</v>
      </c>
      <c r="G64" s="71">
        <v>7.4231505000000003E-2</v>
      </c>
      <c r="H64" s="71">
        <v>6.6771506999999994E-2</v>
      </c>
      <c r="I64" s="71">
        <v>6.1886429999999999E-2</v>
      </c>
      <c r="J64" s="71">
        <v>5.8678985000000003E-2</v>
      </c>
      <c r="K64" s="71">
        <v>5.6478858E-2</v>
      </c>
      <c r="L64" s="71">
        <v>6.1362650000000001E-3</v>
      </c>
      <c r="M64" s="71">
        <v>6.1755270000000001E-3</v>
      </c>
      <c r="N64" s="71">
        <v>-2.8045639999999998E-3</v>
      </c>
      <c r="O64" s="71">
        <v>-1.0847875E-2</v>
      </c>
      <c r="P64" s="71">
        <v>-1.2801076999999999E-2</v>
      </c>
      <c r="Q64" s="71">
        <v>-1.3743356E-2</v>
      </c>
      <c r="R64" s="71">
        <v>-1.2846539000000001E-2</v>
      </c>
      <c r="S64" s="71">
        <v>0.16242148000000001</v>
      </c>
      <c r="T64" s="71">
        <v>0.15962543600000001</v>
      </c>
      <c r="U64" s="71">
        <v>0.15637178400000001</v>
      </c>
      <c r="V64" s="71">
        <v>0.1492763</v>
      </c>
      <c r="W64" s="71">
        <v>0.142279038</v>
      </c>
      <c r="X64" s="71">
        <v>0.13629687800000001</v>
      </c>
      <c r="Y64" s="71">
        <v>0.13034986600000001</v>
      </c>
      <c r="Z64" s="71">
        <v>2.5162304E-2</v>
      </c>
      <c r="AA64" s="71">
        <v>2.153998E-2</v>
      </c>
      <c r="AB64" s="71">
        <v>9.2624509999999997E-3</v>
      </c>
      <c r="AC64" s="71">
        <v>-1.663669E-3</v>
      </c>
      <c r="AD64" s="71">
        <v>-3.9409509999999998E-3</v>
      </c>
      <c r="AE64" s="71">
        <v>-4.6844929999999996E-3</v>
      </c>
      <c r="AF64" s="71">
        <v>-7.6775760000000002E-3</v>
      </c>
      <c r="AG64" s="71">
        <v>0.14194262199999999</v>
      </c>
      <c r="AH64" s="71">
        <v>0.14111264600000001</v>
      </c>
      <c r="AI64" s="71">
        <v>0.143382816</v>
      </c>
      <c r="AJ64" s="71">
        <v>0.13989774199999999</v>
      </c>
      <c r="AK64" s="71">
        <v>0.13206425899999999</v>
      </c>
      <c r="AL64" s="71">
        <v>0.12607627599999999</v>
      </c>
      <c r="AM64" s="71">
        <v>0.124783357</v>
      </c>
      <c r="AN64" s="71">
        <v>0.14730090300000001</v>
      </c>
      <c r="AO64" s="71">
        <v>-4.3316597999999998E-2</v>
      </c>
      <c r="AP64" s="71">
        <v>0.57357632000000003</v>
      </c>
    </row>
    <row r="65" spans="1:42" x14ac:dyDescent="0.2">
      <c r="A65" t="s">
        <v>345</v>
      </c>
      <c r="B65" t="s">
        <v>129</v>
      </c>
      <c r="C65" t="s">
        <v>177</v>
      </c>
      <c r="D65" t="s">
        <v>176</v>
      </c>
      <c r="E65" s="71">
        <v>7.6692103999999997E-2</v>
      </c>
      <c r="F65" s="71">
        <v>7.6282024000000004E-2</v>
      </c>
      <c r="G65" s="71">
        <v>7.5219153999999996E-2</v>
      </c>
      <c r="H65" s="71">
        <v>7.3670744999999996E-2</v>
      </c>
      <c r="I65" s="71">
        <v>7.2610020999999997E-2</v>
      </c>
      <c r="J65" s="71">
        <v>7.1891546000000001E-2</v>
      </c>
      <c r="K65" s="71">
        <v>7.1388363999999996E-2</v>
      </c>
      <c r="L65" s="71">
        <v>1.4716499999999999E-3</v>
      </c>
      <c r="M65" s="71">
        <v>3.0459480000000001E-3</v>
      </c>
      <c r="N65" s="71">
        <v>-7.7625100000000005E-4</v>
      </c>
      <c r="O65" s="71">
        <v>-4.0916879999999996E-3</v>
      </c>
      <c r="P65" s="71">
        <v>-3.320782E-3</v>
      </c>
      <c r="Q65" s="71">
        <v>-1.196112E-3</v>
      </c>
      <c r="R65" s="71">
        <v>1.712812E-3</v>
      </c>
      <c r="S65" s="71">
        <v>0.15685327900000001</v>
      </c>
      <c r="T65" s="71">
        <v>0.15302790499999999</v>
      </c>
      <c r="U65" s="71">
        <v>0.15707546999999999</v>
      </c>
      <c r="V65" s="71">
        <v>0.15701187899999999</v>
      </c>
      <c r="W65" s="71">
        <v>0.15392583100000001</v>
      </c>
      <c r="X65" s="71">
        <v>0.15068577</v>
      </c>
      <c r="Y65" s="71">
        <v>0.14720509100000001</v>
      </c>
      <c r="Z65" s="71">
        <v>1.8929455000000001E-2</v>
      </c>
      <c r="AA65" s="71">
        <v>1.4527574999999999E-2</v>
      </c>
      <c r="AB65" s="71">
        <v>6.2474649999999998E-3</v>
      </c>
      <c r="AC65" s="71">
        <v>-7.8568599999999996E-4</v>
      </c>
      <c r="AD65" s="71">
        <v>-3.8452870000000002E-3</v>
      </c>
      <c r="AE65" s="71">
        <v>4.7507300000000001E-4</v>
      </c>
      <c r="AF65" s="71">
        <v>2.4179449999999999E-3</v>
      </c>
      <c r="AG65" s="71">
        <v>0.13772941999999999</v>
      </c>
      <c r="AH65" s="71">
        <v>0.141795595</v>
      </c>
      <c r="AI65" s="71">
        <v>0.148918461</v>
      </c>
      <c r="AJ65" s="71">
        <v>0.15367540700000001</v>
      </c>
      <c r="AK65" s="71">
        <v>0.15493312100000001</v>
      </c>
      <c r="AL65" s="71">
        <v>0.148405866</v>
      </c>
      <c r="AM65" s="71">
        <v>0.14510398399999999</v>
      </c>
      <c r="AN65" s="71">
        <v>0.147958642</v>
      </c>
      <c r="AO65" s="71">
        <v>-1.1299572000000001E-2</v>
      </c>
      <c r="AP65" s="71">
        <v>0.58600477900000003</v>
      </c>
    </row>
    <row r="66" spans="1:42" x14ac:dyDescent="0.2">
      <c r="A66" t="s">
        <v>191</v>
      </c>
      <c r="B66" t="s">
        <v>129</v>
      </c>
      <c r="C66" t="s">
        <v>131</v>
      </c>
      <c r="D66" t="s">
        <v>130</v>
      </c>
      <c r="E66" s="71">
        <v>6.0336709000000002E-2</v>
      </c>
      <c r="F66" s="71">
        <v>6.2762975999999998E-2</v>
      </c>
      <c r="G66" s="71">
        <v>6.8893909000000003E-2</v>
      </c>
      <c r="H66" s="71">
        <v>7.8094243999999993E-2</v>
      </c>
      <c r="I66" s="71">
        <v>8.4629536000000005E-2</v>
      </c>
      <c r="J66" s="71">
        <v>8.9150785999999996E-2</v>
      </c>
      <c r="K66" s="71">
        <v>9.2355132000000006E-2</v>
      </c>
      <c r="L66" s="71">
        <v>9.4160479999999998E-3</v>
      </c>
      <c r="M66" s="71">
        <v>1.8791962999999998E-2</v>
      </c>
      <c r="N66" s="71">
        <v>2.9700641999999999E-2</v>
      </c>
      <c r="O66" s="71">
        <v>4.3527166999999999E-2</v>
      </c>
      <c r="P66" s="71">
        <v>5.3015756999999997E-2</v>
      </c>
      <c r="Q66" s="71">
        <v>5.9669228999999997E-2</v>
      </c>
      <c r="R66" s="71">
        <v>6.4897873999999994E-2</v>
      </c>
      <c r="S66" s="71">
        <v>0.11522415900000001</v>
      </c>
      <c r="T66" s="71">
        <v>0.10997818400000001</v>
      </c>
      <c r="U66" s="71">
        <v>0.110058906</v>
      </c>
      <c r="V66" s="71">
        <v>0.113397437</v>
      </c>
      <c r="W66" s="71">
        <v>0.117031169</v>
      </c>
      <c r="X66" s="71">
        <v>0.118987756</v>
      </c>
      <c r="Y66" s="71">
        <v>0.12005154699999999</v>
      </c>
      <c r="Z66" s="71">
        <v>3.9820829000000002E-2</v>
      </c>
      <c r="AA66" s="71">
        <v>4.2739632999999999E-2</v>
      </c>
      <c r="AB66" s="71">
        <v>4.9620374000000002E-2</v>
      </c>
      <c r="AC66" s="71">
        <v>5.7979031E-2</v>
      </c>
      <c r="AD66" s="71">
        <v>6.5376386999999994E-2</v>
      </c>
      <c r="AE66" s="71">
        <v>7.0612900000000006E-2</v>
      </c>
      <c r="AF66" s="71">
        <v>7.3980575000000007E-2</v>
      </c>
      <c r="AG66" s="71">
        <v>8.1257417999999998E-2</v>
      </c>
      <c r="AH66" s="71">
        <v>8.3170645000000001E-2</v>
      </c>
      <c r="AI66" s="71">
        <v>8.8521399000000001E-2</v>
      </c>
      <c r="AJ66" s="71">
        <v>9.8591825999999994E-2</v>
      </c>
      <c r="AK66" s="71">
        <v>0.104230643</v>
      </c>
      <c r="AL66" s="71">
        <v>0.108009624</v>
      </c>
      <c r="AM66" s="71">
        <v>0.111043985</v>
      </c>
      <c r="AN66" s="71">
        <v>0.150422957</v>
      </c>
      <c r="AO66" s="71">
        <v>-3.7482887999999999E-2</v>
      </c>
      <c r="AP66" s="71">
        <v>1</v>
      </c>
    </row>
    <row r="67" spans="1:42" x14ac:dyDescent="0.2">
      <c r="A67" t="s">
        <v>254</v>
      </c>
      <c r="B67" t="s">
        <v>129</v>
      </c>
      <c r="C67" t="s">
        <v>131</v>
      </c>
      <c r="D67" t="s">
        <v>130</v>
      </c>
      <c r="E67" s="71">
        <v>3.7375211999999998E-2</v>
      </c>
      <c r="F67" s="71">
        <v>4.0824652000000003E-2</v>
      </c>
      <c r="G67" s="71">
        <v>4.8866987000000001E-2</v>
      </c>
      <c r="H67" s="71">
        <v>5.9803963000000002E-2</v>
      </c>
      <c r="I67" s="71">
        <v>6.6973089999999999E-2</v>
      </c>
      <c r="J67" s="71">
        <v>7.1720838999999995E-2</v>
      </c>
      <c r="K67" s="71">
        <v>7.5012683999999996E-2</v>
      </c>
      <c r="L67" s="71">
        <v>-2.0734648000000001E-2</v>
      </c>
      <c r="M67" s="71">
        <v>-1.0302428000000001E-2</v>
      </c>
      <c r="N67" s="71">
        <v>3.8606809999999999E-3</v>
      </c>
      <c r="O67" s="71">
        <v>2.0293551999999999E-2</v>
      </c>
      <c r="P67" s="71">
        <v>3.0669235999999999E-2</v>
      </c>
      <c r="Q67" s="71">
        <v>3.8432582E-2</v>
      </c>
      <c r="R67" s="71">
        <v>4.4134904000000003E-2</v>
      </c>
      <c r="S67" s="71">
        <v>9.8069462999999996E-2</v>
      </c>
      <c r="T67" s="71">
        <v>9.3037882000000002E-2</v>
      </c>
      <c r="U67" s="71">
        <v>9.5732419999999999E-2</v>
      </c>
      <c r="V67" s="71">
        <v>0.101621379</v>
      </c>
      <c r="W67" s="71">
        <v>0.104836912</v>
      </c>
      <c r="X67" s="71">
        <v>0.10686425400000001</v>
      </c>
      <c r="Y67" s="71">
        <v>0.107300203</v>
      </c>
      <c r="Z67" s="71">
        <v>1.6159455E-2</v>
      </c>
      <c r="AA67" s="71">
        <v>1.8973236000000001E-2</v>
      </c>
      <c r="AB67" s="71">
        <v>2.6829168E-2</v>
      </c>
      <c r="AC67" s="71">
        <v>3.6116827999999997E-2</v>
      </c>
      <c r="AD67" s="71">
        <v>4.3608345999999999E-2</v>
      </c>
      <c r="AE67" s="71">
        <v>4.9742053000000001E-2</v>
      </c>
      <c r="AF67" s="71">
        <v>5.3782901000000001E-2</v>
      </c>
      <c r="AG67" s="71">
        <v>5.9034393999999997E-2</v>
      </c>
      <c r="AH67" s="71">
        <v>6.3145154999999994E-2</v>
      </c>
      <c r="AI67" s="71">
        <v>7.1378291999999996E-2</v>
      </c>
      <c r="AJ67" s="71">
        <v>8.4032853000000005E-2</v>
      </c>
      <c r="AK67" s="71">
        <v>9.0860992000000002E-2</v>
      </c>
      <c r="AL67" s="71">
        <v>9.4159941999999996E-2</v>
      </c>
      <c r="AM67" s="71">
        <v>9.6670356999999998E-2</v>
      </c>
      <c r="AN67" s="71">
        <v>0.177103132</v>
      </c>
      <c r="AO67" s="71">
        <v>-0.14689767000000001</v>
      </c>
      <c r="AP67" s="71">
        <v>1</v>
      </c>
    </row>
    <row r="68" spans="1:42" x14ac:dyDescent="0.2">
      <c r="A68" t="s">
        <v>103</v>
      </c>
      <c r="B68" t="s">
        <v>129</v>
      </c>
      <c r="C68" t="s">
        <v>131</v>
      </c>
      <c r="D68" t="s">
        <v>130</v>
      </c>
      <c r="E68" s="71">
        <v>7.1210384000000002E-2</v>
      </c>
      <c r="F68" s="71">
        <v>7.3347925999999994E-2</v>
      </c>
      <c r="G68" s="71">
        <v>7.8683138E-2</v>
      </c>
      <c r="H68" s="71">
        <v>8.6594223999999997E-2</v>
      </c>
      <c r="I68" s="71">
        <v>9.2175840999999994E-2</v>
      </c>
      <c r="J68" s="71">
        <v>9.6028089999999997E-2</v>
      </c>
      <c r="K68" s="71">
        <v>9.8756194000000005E-2</v>
      </c>
      <c r="L68" s="71">
        <v>7.9045609999999992E-3</v>
      </c>
      <c r="M68" s="71">
        <v>1.7802214E-2</v>
      </c>
      <c r="N68" s="71">
        <v>2.9976195000000001E-2</v>
      </c>
      <c r="O68" s="71">
        <v>4.3564285000000001E-2</v>
      </c>
      <c r="P68" s="71">
        <v>5.3065948000000002E-2</v>
      </c>
      <c r="Q68" s="71">
        <v>6.0132707000000001E-2</v>
      </c>
      <c r="R68" s="71">
        <v>6.4993917999999998E-2</v>
      </c>
      <c r="S68" s="71">
        <v>0.13920038000000001</v>
      </c>
      <c r="T68" s="71">
        <v>0.131163469</v>
      </c>
      <c r="U68" s="71">
        <v>0.12934032200000001</v>
      </c>
      <c r="V68" s="71">
        <v>0.13184586300000001</v>
      </c>
      <c r="W68" s="71">
        <v>0.13265791499999999</v>
      </c>
      <c r="X68" s="71">
        <v>0.133224646</v>
      </c>
      <c r="Y68" s="71">
        <v>0.13275040299999999</v>
      </c>
      <c r="Z68" s="71">
        <v>4.2081487000000001E-2</v>
      </c>
      <c r="AA68" s="71">
        <v>4.4930335000000002E-2</v>
      </c>
      <c r="AB68" s="71">
        <v>5.0942000000000001E-2</v>
      </c>
      <c r="AC68" s="71">
        <v>6.0336956999999997E-2</v>
      </c>
      <c r="AD68" s="71">
        <v>6.7449018999999999E-2</v>
      </c>
      <c r="AE68" s="71">
        <v>7.2510628999999993E-2</v>
      </c>
      <c r="AF68" s="71">
        <v>7.5886835E-2</v>
      </c>
      <c r="AG68" s="71">
        <v>0.10115399899999999</v>
      </c>
      <c r="AH68" s="71">
        <v>0.10253889200000001</v>
      </c>
      <c r="AI68" s="71">
        <v>0.107156743</v>
      </c>
      <c r="AJ68" s="71">
        <v>0.113502122</v>
      </c>
      <c r="AK68" s="71">
        <v>0.117475778</v>
      </c>
      <c r="AL68" s="71">
        <v>0.12006148</v>
      </c>
      <c r="AM68" s="71">
        <v>0.12211161800000001</v>
      </c>
      <c r="AN68" s="71">
        <v>0.180697201</v>
      </c>
      <c r="AO68" s="71">
        <v>-8.2170099999999996E-2</v>
      </c>
      <c r="AP68" s="71">
        <v>1</v>
      </c>
    </row>
    <row r="69" spans="1:42" x14ac:dyDescent="0.2">
      <c r="A69" t="s">
        <v>214</v>
      </c>
      <c r="B69" t="s">
        <v>129</v>
      </c>
      <c r="C69" t="s">
        <v>131</v>
      </c>
      <c r="D69" t="s">
        <v>130</v>
      </c>
      <c r="E69" s="71">
        <v>5.2837491E-2</v>
      </c>
      <c r="F69" s="71">
        <v>5.4319977999999998E-2</v>
      </c>
      <c r="G69" s="71">
        <v>5.7934880000000001E-2</v>
      </c>
      <c r="H69" s="71">
        <v>6.3163757000000001E-2</v>
      </c>
      <c r="I69" s="71">
        <v>6.6798209999999997E-2</v>
      </c>
      <c r="J69" s="71">
        <v>6.9296956000000007E-2</v>
      </c>
      <c r="K69" s="71">
        <v>7.1067452000000003E-2</v>
      </c>
      <c r="L69" s="71">
        <v>-4.0681179999999999E-3</v>
      </c>
      <c r="M69" s="71">
        <v>5.8152539999999997E-3</v>
      </c>
      <c r="N69" s="71">
        <v>1.5434523E-2</v>
      </c>
      <c r="O69" s="71">
        <v>2.4250671000000001E-2</v>
      </c>
      <c r="P69" s="71">
        <v>3.1477325E-2</v>
      </c>
      <c r="Q69" s="71">
        <v>3.6367531000000002E-2</v>
      </c>
      <c r="R69" s="71">
        <v>3.9971607999999999E-2</v>
      </c>
      <c r="S69" s="71">
        <v>0.11304093699999999</v>
      </c>
      <c r="T69" s="71">
        <v>0.105188722</v>
      </c>
      <c r="U69" s="71">
        <v>0.103270468</v>
      </c>
      <c r="V69" s="71">
        <v>0.10277987500000001</v>
      </c>
      <c r="W69" s="71">
        <v>0.103379043</v>
      </c>
      <c r="X69" s="71">
        <v>0.10284634300000001</v>
      </c>
      <c r="Y69" s="71">
        <v>0.10299736700000001</v>
      </c>
      <c r="Z69" s="71">
        <v>3.6243325E-2</v>
      </c>
      <c r="AA69" s="71">
        <v>3.6946192000000003E-2</v>
      </c>
      <c r="AB69" s="71">
        <v>3.7088353999999997E-2</v>
      </c>
      <c r="AC69" s="71">
        <v>4.0369285999999997E-2</v>
      </c>
      <c r="AD69" s="71">
        <v>4.5367813999999999E-2</v>
      </c>
      <c r="AE69" s="71">
        <v>4.7992171E-2</v>
      </c>
      <c r="AF69" s="71">
        <v>5.0289109999999998E-2</v>
      </c>
      <c r="AG69" s="71">
        <v>6.9676361000000006E-2</v>
      </c>
      <c r="AH69" s="71">
        <v>7.1964869000000001E-2</v>
      </c>
      <c r="AI69" s="71">
        <v>7.9183173999999995E-2</v>
      </c>
      <c r="AJ69" s="71">
        <v>8.6444721000000002E-2</v>
      </c>
      <c r="AK69" s="71">
        <v>8.8657769999999997E-2</v>
      </c>
      <c r="AL69" s="71">
        <v>9.1026311999999998E-2</v>
      </c>
      <c r="AM69" s="71">
        <v>9.2249895999999998E-2</v>
      </c>
      <c r="AN69" s="71">
        <v>0.17667674799999999</v>
      </c>
      <c r="AO69" s="71">
        <v>-8.0777719999999997E-2</v>
      </c>
      <c r="AP69" s="71">
        <v>1</v>
      </c>
    </row>
    <row r="70" spans="1:42" x14ac:dyDescent="0.2">
      <c r="A70" t="s">
        <v>164</v>
      </c>
      <c r="B70" t="s">
        <v>129</v>
      </c>
      <c r="C70" t="s">
        <v>131</v>
      </c>
      <c r="D70" t="s">
        <v>130</v>
      </c>
      <c r="E70" s="71">
        <v>3.1863570000000001E-2</v>
      </c>
      <c r="F70" s="71">
        <v>3.4355164000000001E-2</v>
      </c>
      <c r="G70" s="71">
        <v>4.0462494000000002E-2</v>
      </c>
      <c r="H70" s="71">
        <v>4.9371362000000002E-2</v>
      </c>
      <c r="I70" s="71">
        <v>5.5618882000000001E-2</v>
      </c>
      <c r="J70" s="71">
        <v>5.9942125999999998E-2</v>
      </c>
      <c r="K70" s="71">
        <v>6.3019752999999998E-2</v>
      </c>
      <c r="L70" s="71">
        <v>-1.8404259999999999E-2</v>
      </c>
      <c r="M70" s="71">
        <v>-9.9265710000000004E-3</v>
      </c>
      <c r="N70" s="71">
        <v>1.1382479999999999E-3</v>
      </c>
      <c r="O70" s="71">
        <v>1.4287739000000001E-2</v>
      </c>
      <c r="P70" s="71">
        <v>2.3343923999999999E-2</v>
      </c>
      <c r="Q70" s="71">
        <v>3.0042144E-2</v>
      </c>
      <c r="R70" s="71">
        <v>3.5307026999999998E-2</v>
      </c>
      <c r="S70" s="71">
        <v>8.5473825000000003E-2</v>
      </c>
      <c r="T70" s="71">
        <v>8.0720099000000003E-2</v>
      </c>
      <c r="U70" s="71">
        <v>8.1831642999999996E-2</v>
      </c>
      <c r="V70" s="71">
        <v>8.6044472999999996E-2</v>
      </c>
      <c r="W70" s="71">
        <v>8.8421825999999995E-2</v>
      </c>
      <c r="X70" s="71">
        <v>9.0467681999999994E-2</v>
      </c>
      <c r="Y70" s="71">
        <v>9.1436943000000007E-2</v>
      </c>
      <c r="Z70" s="71">
        <v>1.4451696E-2</v>
      </c>
      <c r="AA70" s="71">
        <v>1.6273115000000001E-2</v>
      </c>
      <c r="AB70" s="71">
        <v>1.9992975E-2</v>
      </c>
      <c r="AC70" s="71">
        <v>2.8581988999999999E-2</v>
      </c>
      <c r="AD70" s="71">
        <v>3.5245524E-2</v>
      </c>
      <c r="AE70" s="71">
        <v>4.0824510000000001E-2</v>
      </c>
      <c r="AF70" s="71">
        <v>4.4200085E-2</v>
      </c>
      <c r="AG70" s="71">
        <v>4.9553653000000003E-2</v>
      </c>
      <c r="AH70" s="71">
        <v>5.2739370000000001E-2</v>
      </c>
      <c r="AI70" s="71">
        <v>6.1325928000000002E-2</v>
      </c>
      <c r="AJ70" s="71">
        <v>7.0568171999999998E-2</v>
      </c>
      <c r="AK70" s="71">
        <v>7.6383207999999994E-2</v>
      </c>
      <c r="AL70" s="71">
        <v>7.9402759000000003E-2</v>
      </c>
      <c r="AM70" s="71">
        <v>8.2171491999999999E-2</v>
      </c>
      <c r="AN70" s="71">
        <v>0.15936969000000001</v>
      </c>
      <c r="AO70" s="71">
        <v>-0.14586510499999999</v>
      </c>
      <c r="AP70" s="71">
        <v>1</v>
      </c>
    </row>
    <row r="71" spans="1:42" x14ac:dyDescent="0.2">
      <c r="A71" t="s">
        <v>345</v>
      </c>
      <c r="B71" t="s">
        <v>129</v>
      </c>
      <c r="C71" t="s">
        <v>131</v>
      </c>
      <c r="D71" t="s">
        <v>130</v>
      </c>
      <c r="E71" s="71">
        <v>2.682209E-2</v>
      </c>
      <c r="F71" s="71">
        <v>3.1106948999999998E-2</v>
      </c>
      <c r="G71" s="71">
        <v>4.1418791000000003E-2</v>
      </c>
      <c r="H71" s="71">
        <v>5.6157947E-2</v>
      </c>
      <c r="I71" s="71">
        <v>6.6278933999999998E-2</v>
      </c>
      <c r="J71" s="71">
        <v>7.3170184999999999E-2</v>
      </c>
      <c r="K71" s="71">
        <v>7.8021169000000001E-2</v>
      </c>
      <c r="L71" s="71">
        <v>-2.6530549E-2</v>
      </c>
      <c r="M71" s="71">
        <v>-1.4907989999999999E-2</v>
      </c>
      <c r="N71" s="71">
        <v>1.06879E-4</v>
      </c>
      <c r="O71" s="71">
        <v>2.0000934000000001E-2</v>
      </c>
      <c r="P71" s="71">
        <v>3.3267805999999997E-2</v>
      </c>
      <c r="Q71" s="71">
        <v>4.2530459999999999E-2</v>
      </c>
      <c r="R71" s="71">
        <v>4.9188498999999997E-2</v>
      </c>
      <c r="S71" s="71">
        <v>8.3352871999999995E-2</v>
      </c>
      <c r="T71" s="71">
        <v>8.0720007999999996E-2</v>
      </c>
      <c r="U71" s="71">
        <v>8.4151314000000005E-2</v>
      </c>
      <c r="V71" s="71">
        <v>9.3672775E-2</v>
      </c>
      <c r="W71" s="71">
        <v>0.100426415</v>
      </c>
      <c r="X71" s="71">
        <v>0.104846628</v>
      </c>
      <c r="Y71" s="71">
        <v>0.10727192200000001</v>
      </c>
      <c r="Z71" s="71">
        <v>8.6559210000000004E-3</v>
      </c>
      <c r="AA71" s="71">
        <v>1.3200498999999999E-2</v>
      </c>
      <c r="AB71" s="71">
        <v>2.2551892E-2</v>
      </c>
      <c r="AC71" s="71">
        <v>3.5409003000000001E-2</v>
      </c>
      <c r="AD71" s="71">
        <v>4.5705023999999997E-2</v>
      </c>
      <c r="AE71" s="71">
        <v>5.3022973000000001E-2</v>
      </c>
      <c r="AF71" s="71">
        <v>5.8476001E-2</v>
      </c>
      <c r="AG71" s="71">
        <v>4.5294781999999999E-2</v>
      </c>
      <c r="AH71" s="71">
        <v>4.9310147999999998E-2</v>
      </c>
      <c r="AI71" s="71">
        <v>6.0616828999999997E-2</v>
      </c>
      <c r="AJ71" s="71">
        <v>7.7309716000000001E-2</v>
      </c>
      <c r="AK71" s="71">
        <v>8.7247338999999993E-2</v>
      </c>
      <c r="AL71" s="71">
        <v>9.3694740999999998E-2</v>
      </c>
      <c r="AM71" s="71">
        <v>9.7920092E-2</v>
      </c>
      <c r="AN71" s="71">
        <v>0.162812346</v>
      </c>
      <c r="AO71" s="71">
        <v>-0.113859743</v>
      </c>
      <c r="AP71" s="71">
        <v>1</v>
      </c>
    </row>
    <row r="72" spans="1:42" x14ac:dyDescent="0.2">
      <c r="A72" t="s">
        <v>138</v>
      </c>
      <c r="B72" t="s">
        <v>129</v>
      </c>
      <c r="C72" t="s">
        <v>131</v>
      </c>
      <c r="D72" t="s">
        <v>378</v>
      </c>
      <c r="E72" s="71">
        <v>5.2500366999999999E-2</v>
      </c>
      <c r="F72" s="71">
        <v>5.4217099999999997E-2</v>
      </c>
      <c r="G72" s="75">
        <v>5.8304309999999998E-2</v>
      </c>
      <c r="H72" s="71">
        <v>6.3983559999999995E-2</v>
      </c>
      <c r="I72" s="71">
        <v>6.7741752000000002E-2</v>
      </c>
      <c r="J72" s="71">
        <v>7.0219039999999996E-2</v>
      </c>
      <c r="K72" s="71">
        <v>7.1917772000000005E-2</v>
      </c>
      <c r="L72" s="71">
        <v>-4.0266549999999996E-3</v>
      </c>
      <c r="M72" s="71">
        <v>4.1008939999999999E-3</v>
      </c>
      <c r="N72" s="71">
        <v>1.4052212E-2</v>
      </c>
      <c r="O72" s="71">
        <v>2.5718736999999998E-2</v>
      </c>
      <c r="P72" s="71">
        <v>3.2345251999999998E-2</v>
      </c>
      <c r="Q72" s="71">
        <v>3.6731155000000001E-2</v>
      </c>
      <c r="R72" s="71">
        <v>3.9970550000000001E-2</v>
      </c>
      <c r="S72" s="71">
        <v>0.11230409399999999</v>
      </c>
      <c r="T72" s="71">
        <v>0.106758008</v>
      </c>
      <c r="U72" s="71">
        <v>0.104237237</v>
      </c>
      <c r="V72" s="71">
        <v>0.104221303</v>
      </c>
      <c r="W72" s="71">
        <v>0.10512012</v>
      </c>
      <c r="X72" s="71">
        <v>0.10487561199999999</v>
      </c>
      <c r="Y72" s="71">
        <v>0.104468536</v>
      </c>
      <c r="Z72" s="71">
        <v>3.5120345999999997E-2</v>
      </c>
      <c r="AA72" s="71">
        <v>3.5350472000000001E-2</v>
      </c>
      <c r="AB72" s="71">
        <v>3.7047355999999997E-2</v>
      </c>
      <c r="AC72" s="71">
        <v>4.0240770000000002E-2</v>
      </c>
      <c r="AD72" s="71">
        <v>4.3780838000000002E-2</v>
      </c>
      <c r="AE72" s="71">
        <v>4.7252232999999998E-2</v>
      </c>
      <c r="AF72" s="71">
        <v>4.9067004999999997E-2</v>
      </c>
      <c r="AG72" s="71">
        <v>7.0172613999999994E-2</v>
      </c>
      <c r="AH72" s="71">
        <v>7.3427957000000002E-2</v>
      </c>
      <c r="AI72" s="71">
        <v>7.9997488000000005E-2</v>
      </c>
      <c r="AJ72" s="71">
        <v>8.8268530999999997E-2</v>
      </c>
      <c r="AK72" s="71">
        <v>9.2252843000000001E-2</v>
      </c>
      <c r="AL72" s="71">
        <v>9.3689454000000005E-2</v>
      </c>
      <c r="AM72" s="71">
        <v>9.5266389000000007E-2</v>
      </c>
      <c r="AN72" s="71">
        <v>0.17679847200000001</v>
      </c>
      <c r="AO72" s="71">
        <v>-1.9850940000000002E-3</v>
      </c>
      <c r="AP72" s="71">
        <v>0.91572126099999995</v>
      </c>
    </row>
    <row r="73" spans="1:42" x14ac:dyDescent="0.2">
      <c r="A73" t="s">
        <v>138</v>
      </c>
      <c r="B73" t="s">
        <v>129</v>
      </c>
      <c r="C73" t="s">
        <v>379</v>
      </c>
      <c r="D73" t="s">
        <v>380</v>
      </c>
      <c r="E73" s="71">
        <v>5.2844523999999997E-2</v>
      </c>
      <c r="F73" s="71">
        <v>5.4720759000000001E-2</v>
      </c>
      <c r="G73" s="75">
        <v>5.9194206999999999E-2</v>
      </c>
      <c r="H73" s="71">
        <v>6.5425515000000004E-2</v>
      </c>
      <c r="I73" s="71">
        <v>6.9562077999999999E-2</v>
      </c>
      <c r="J73" s="71">
        <v>7.2296381000000007E-2</v>
      </c>
      <c r="K73" s="71">
        <v>7.4175834999999996E-2</v>
      </c>
      <c r="L73" s="71">
        <v>-3.163454E-3</v>
      </c>
      <c r="M73" s="71">
        <v>5.6616549999999998E-3</v>
      </c>
      <c r="N73" s="71">
        <v>1.5504741000000001E-2</v>
      </c>
      <c r="O73" s="71">
        <v>2.7122898999999999E-2</v>
      </c>
      <c r="P73" s="71">
        <v>3.4322283000000002E-2</v>
      </c>
      <c r="Q73" s="71">
        <v>3.8767575999999998E-2</v>
      </c>
      <c r="R73" s="71">
        <v>4.2745431E-2</v>
      </c>
      <c r="S73" s="71">
        <v>0.112045651</v>
      </c>
      <c r="T73" s="71">
        <v>0.106954018</v>
      </c>
      <c r="U73" s="71">
        <v>0.104752448</v>
      </c>
      <c r="V73" s="71">
        <v>0.104973729</v>
      </c>
      <c r="W73" s="71">
        <v>0.106352522</v>
      </c>
      <c r="X73" s="71">
        <v>0.106651621</v>
      </c>
      <c r="Y73" s="71">
        <v>0.106830191</v>
      </c>
      <c r="Z73" s="71">
        <v>3.6145271E-2</v>
      </c>
      <c r="AA73" s="71">
        <v>3.6593438999999998E-2</v>
      </c>
      <c r="AB73" s="71">
        <v>3.8056725E-2</v>
      </c>
      <c r="AC73" s="71">
        <v>4.1726074000000002E-2</v>
      </c>
      <c r="AD73" s="71">
        <v>4.5137844000000003E-2</v>
      </c>
      <c r="AE73" s="71">
        <v>4.9481101E-2</v>
      </c>
      <c r="AF73" s="71">
        <v>5.1385933000000002E-2</v>
      </c>
      <c r="AG73" s="71">
        <v>6.9810751000000004E-2</v>
      </c>
      <c r="AH73" s="71">
        <v>7.3163130000000007E-2</v>
      </c>
      <c r="AI73" s="71">
        <v>8.0760355000000006E-2</v>
      </c>
      <c r="AJ73" s="71">
        <v>8.9662733999999994E-2</v>
      </c>
      <c r="AK73" s="71">
        <v>9.4555918000000003E-2</v>
      </c>
      <c r="AL73" s="71">
        <v>9.5606706999999999E-2</v>
      </c>
      <c r="AM73" s="71">
        <v>9.7459017999999994E-2</v>
      </c>
      <c r="AN73" s="71">
        <v>0.17575824100000001</v>
      </c>
      <c r="AO73" s="71">
        <v>-3.7766779999999999E-3</v>
      </c>
      <c r="AP73" s="71">
        <v>0.92005324799999999</v>
      </c>
    </row>
    <row r="74" spans="1:42" s="77" customFormat="1" x14ac:dyDescent="0.2">
      <c r="A74" s="77" t="s">
        <v>345</v>
      </c>
      <c r="B74" s="77" t="s">
        <v>129</v>
      </c>
      <c r="C74" s="77" t="s">
        <v>346</v>
      </c>
      <c r="D74" s="77" t="s">
        <v>347</v>
      </c>
      <c r="E74" s="80">
        <v>9.9612951000000005E-2</v>
      </c>
      <c r="F74" s="80">
        <v>0.101482749</v>
      </c>
      <c r="G74" s="80">
        <v>0.105916858</v>
      </c>
      <c r="H74" s="80">
        <v>0.11218214</v>
      </c>
      <c r="I74" s="80">
        <v>0.11644768699999999</v>
      </c>
      <c r="J74" s="80">
        <v>0.119336843</v>
      </c>
      <c r="K74" s="80">
        <v>0.121363521</v>
      </c>
      <c r="L74" s="80">
        <v>-6.8818000000000004E-4</v>
      </c>
      <c r="M74" s="80">
        <v>2.515532E-3</v>
      </c>
      <c r="N74" s="80">
        <v>-2.499612E-3</v>
      </c>
      <c r="O74" s="80">
        <v>-8.2022320000000003E-3</v>
      </c>
      <c r="P74" s="80">
        <v>-5.5074420000000004E-3</v>
      </c>
      <c r="Q74" s="80">
        <v>-6.5079000000000005E-4</v>
      </c>
      <c r="R74" s="80">
        <v>5.1658099999999998E-3</v>
      </c>
      <c r="S74" s="80">
        <v>0.21090862199999999</v>
      </c>
      <c r="T74" s="80">
        <v>0.208307363</v>
      </c>
      <c r="U74" s="80">
        <v>0.225324055</v>
      </c>
      <c r="V74" s="80">
        <v>0.24582525999999999</v>
      </c>
      <c r="W74" s="80">
        <v>0.25421940300000001</v>
      </c>
      <c r="X74" s="80">
        <v>0.25336125900000001</v>
      </c>
      <c r="Y74" s="80">
        <v>0.25053115799999998</v>
      </c>
      <c r="Z74" s="80">
        <v>3.1768256000000002E-2</v>
      </c>
      <c r="AA74" s="80">
        <v>2.6083604999999999E-2</v>
      </c>
      <c r="AB74" s="80">
        <v>9.0904260000000004E-3</v>
      </c>
      <c r="AC74" s="80">
        <v>-2.7780080000000002E-3</v>
      </c>
      <c r="AD74" s="80">
        <v>1.6181799999999999E-4</v>
      </c>
      <c r="AE74" s="80">
        <v>4.80212E-3</v>
      </c>
      <c r="AF74" s="80">
        <v>1.0980360999999999E-2</v>
      </c>
      <c r="AG74" s="80">
        <v>0.17191885200000001</v>
      </c>
      <c r="AH74" s="80">
        <v>0.18242218499999999</v>
      </c>
      <c r="AI74" s="80">
        <v>0.212034265</v>
      </c>
      <c r="AJ74" s="80">
        <v>0.24039501899999999</v>
      </c>
      <c r="AK74" s="80">
        <v>0.24625382400000001</v>
      </c>
      <c r="AL74" s="80">
        <v>0.24692721000000001</v>
      </c>
      <c r="AM74" s="80">
        <v>0.24379890700000001</v>
      </c>
      <c r="AN74" s="80">
        <v>0.23948175699999999</v>
      </c>
      <c r="AO74" s="80">
        <v>5.2100439999999998E-2</v>
      </c>
      <c r="AP74" s="80">
        <v>0.30865914500000002</v>
      </c>
    </row>
    <row r="75" spans="1:42" x14ac:dyDescent="0.2">
      <c r="A75" t="s">
        <v>288</v>
      </c>
      <c r="B75" t="s">
        <v>129</v>
      </c>
      <c r="C75" t="s">
        <v>299</v>
      </c>
      <c r="D75" t="s">
        <v>298</v>
      </c>
      <c r="E75" s="71">
        <v>4.9829125000000002E-2</v>
      </c>
      <c r="F75" s="71">
        <v>5.1852941999999999E-2</v>
      </c>
      <c r="G75" s="71">
        <v>5.6729436000000001E-2</v>
      </c>
      <c r="H75" s="71">
        <v>6.3664675000000004E-2</v>
      </c>
      <c r="I75" s="71">
        <v>6.8398237000000001E-2</v>
      </c>
      <c r="J75" s="71">
        <v>7.1607827999999998E-2</v>
      </c>
      <c r="K75" s="71">
        <v>7.3860407000000003E-2</v>
      </c>
      <c r="L75" s="71">
        <v>1.710652E-3</v>
      </c>
      <c r="M75" s="71">
        <v>9.3466220000000006E-3</v>
      </c>
      <c r="N75" s="71">
        <v>1.9448020999999999E-2</v>
      </c>
      <c r="O75" s="71">
        <v>3.1448543000000002E-2</v>
      </c>
      <c r="P75" s="71">
        <v>3.8987931000000003E-2</v>
      </c>
      <c r="Q75" s="71">
        <v>4.4414948000000003E-2</v>
      </c>
      <c r="R75" s="71">
        <v>4.8459908000000003E-2</v>
      </c>
      <c r="S75" s="71">
        <v>0.100331475</v>
      </c>
      <c r="T75" s="71">
        <v>9.5811353000000002E-2</v>
      </c>
      <c r="U75" s="71">
        <v>9.5539994000000003E-2</v>
      </c>
      <c r="V75" s="71">
        <v>9.6867106999999994E-2</v>
      </c>
      <c r="W75" s="71">
        <v>9.8156500999999993E-2</v>
      </c>
      <c r="X75" s="71">
        <v>9.9489445999999995E-2</v>
      </c>
      <c r="Y75" s="71">
        <v>9.9182662000000005E-2</v>
      </c>
      <c r="Z75" s="71">
        <v>3.0235383000000001E-2</v>
      </c>
      <c r="AA75" s="71">
        <v>3.2510056000000002E-2</v>
      </c>
      <c r="AB75" s="71">
        <v>3.6624556000000003E-2</v>
      </c>
      <c r="AC75" s="71">
        <v>4.3886416999999997E-2</v>
      </c>
      <c r="AD75" s="71">
        <v>4.958895E-2</v>
      </c>
      <c r="AE75" s="71">
        <v>5.2853171999999997E-2</v>
      </c>
      <c r="AF75" s="71">
        <v>5.5689203999999999E-2</v>
      </c>
      <c r="AG75" s="71">
        <v>6.9775735000000005E-2</v>
      </c>
      <c r="AH75" s="71">
        <v>7.1539583000000004E-2</v>
      </c>
      <c r="AI75" s="71">
        <v>7.7208296999999995E-2</v>
      </c>
      <c r="AJ75" s="71">
        <v>8.3805410999999996E-2</v>
      </c>
      <c r="AK75" s="71">
        <v>8.7534960999999994E-2</v>
      </c>
      <c r="AL75" s="71">
        <v>9.0688673999999997E-2</v>
      </c>
      <c r="AM75" s="71">
        <v>9.2337904999999998E-2</v>
      </c>
      <c r="AN75" s="71">
        <v>0.143031087</v>
      </c>
      <c r="AO75" s="71">
        <v>-0.15326703699999999</v>
      </c>
      <c r="AP75" s="71">
        <v>1</v>
      </c>
    </row>
    <row r="76" spans="1:42" x14ac:dyDescent="0.2">
      <c r="A76" t="s">
        <v>254</v>
      </c>
      <c r="B76" t="s">
        <v>129</v>
      </c>
      <c r="C76" t="s">
        <v>223</v>
      </c>
      <c r="D76" t="s">
        <v>222</v>
      </c>
      <c r="E76" s="71">
        <v>4.1460872000000003E-2</v>
      </c>
      <c r="F76" s="71">
        <v>4.4156671000000002E-2</v>
      </c>
      <c r="G76" s="71">
        <v>5.0365805999999999E-2</v>
      </c>
      <c r="H76" s="71">
        <v>5.8663607E-2</v>
      </c>
      <c r="I76" s="71">
        <v>6.4013124000000005E-2</v>
      </c>
      <c r="J76" s="71">
        <v>6.7519783999999999E-2</v>
      </c>
      <c r="K76" s="71">
        <v>6.9937347999999996E-2</v>
      </c>
      <c r="L76" s="71">
        <v>-8.4846097999999995E-2</v>
      </c>
      <c r="M76" s="71">
        <v>-8.2270850000000006E-2</v>
      </c>
      <c r="N76" s="71">
        <v>-8.7287690000000001E-2</v>
      </c>
      <c r="O76" s="71">
        <v>-8.8074716999999997E-2</v>
      </c>
      <c r="P76" s="71">
        <v>-8.2140799E-2</v>
      </c>
      <c r="Q76" s="71">
        <v>-7.2554351000000003E-2</v>
      </c>
      <c r="R76" s="71">
        <v>-6.8170617000000003E-2</v>
      </c>
      <c r="S76" s="71">
        <v>0.18783124100000001</v>
      </c>
      <c r="T76" s="71">
        <v>0.18758924799999999</v>
      </c>
      <c r="U76" s="71">
        <v>0.20721346700000001</v>
      </c>
      <c r="V76" s="71">
        <v>0.23040961300000001</v>
      </c>
      <c r="W76" s="71">
        <v>0.23269152400000001</v>
      </c>
      <c r="X76" s="71">
        <v>0.22882967800000001</v>
      </c>
      <c r="Y76" s="71">
        <v>0.22875230299999999</v>
      </c>
      <c r="Z76" s="71">
        <v>-4.9289119999999999E-2</v>
      </c>
      <c r="AA76" s="71">
        <v>-5.6028443999999997E-2</v>
      </c>
      <c r="AB76" s="71">
        <v>-6.8443620999999996E-2</v>
      </c>
      <c r="AC76" s="71">
        <v>-8.2066635999999998E-2</v>
      </c>
      <c r="AD76" s="71">
        <v>-8.0240590000000001E-2</v>
      </c>
      <c r="AE76" s="71">
        <v>-7.4159269E-2</v>
      </c>
      <c r="AF76" s="71">
        <v>-7.3394103000000002E-2</v>
      </c>
      <c r="AG76" s="71">
        <v>0.14087360700000001</v>
      </c>
      <c r="AH76" s="71">
        <v>0.15497449699999999</v>
      </c>
      <c r="AI76" s="71">
        <v>0.18432818100000001</v>
      </c>
      <c r="AJ76" s="71">
        <v>0.22096940600000001</v>
      </c>
      <c r="AK76" s="71">
        <v>0.23089136499999999</v>
      </c>
      <c r="AL76" s="71">
        <v>0.23087971299999999</v>
      </c>
      <c r="AM76" s="71">
        <v>0.235439805</v>
      </c>
      <c r="AN76" s="71">
        <v>0.291823057</v>
      </c>
      <c r="AO76" s="71">
        <v>-8.8214815000000002E-2</v>
      </c>
      <c r="AP76" s="71">
        <v>0.29420263800000002</v>
      </c>
    </row>
    <row r="77" spans="1:42" x14ac:dyDescent="0.2">
      <c r="A77" s="77" t="s">
        <v>214</v>
      </c>
      <c r="B77" s="77" t="s">
        <v>129</v>
      </c>
      <c r="C77" s="77" t="s">
        <v>223</v>
      </c>
      <c r="D77" s="77" t="s">
        <v>222</v>
      </c>
      <c r="E77" s="71">
        <v>5.6983948E-2</v>
      </c>
      <c r="F77" s="71">
        <v>5.7694912000000001E-2</v>
      </c>
      <c r="G77" s="71">
        <v>5.9446335000000003E-2</v>
      </c>
      <c r="H77" s="71">
        <v>6.2019587000000001E-2</v>
      </c>
      <c r="I77" s="71">
        <v>6.3838720000000002E-2</v>
      </c>
      <c r="J77" s="71">
        <v>6.5105318999999995E-2</v>
      </c>
      <c r="K77" s="71">
        <v>6.6010713999999998E-2</v>
      </c>
      <c r="L77" s="71">
        <v>-7.4946240999999997E-2</v>
      </c>
      <c r="M77" s="71">
        <v>-7.3630087999999996E-2</v>
      </c>
      <c r="N77" s="71">
        <v>-7.8817460000000006E-2</v>
      </c>
      <c r="O77" s="71">
        <v>-8.55263E-2</v>
      </c>
      <c r="P77" s="71">
        <v>-8.5752890999999998E-2</v>
      </c>
      <c r="Q77" s="71">
        <v>-8.2461834999999997E-2</v>
      </c>
      <c r="R77" s="71">
        <v>-7.8703281E-2</v>
      </c>
      <c r="S77" s="71">
        <v>0.20803442599999999</v>
      </c>
      <c r="T77" s="71">
        <v>0.206124157</v>
      </c>
      <c r="U77" s="71">
        <v>0.21902978300000001</v>
      </c>
      <c r="V77" s="71">
        <v>0.232923086</v>
      </c>
      <c r="W77" s="71">
        <v>0.237161496</v>
      </c>
      <c r="X77" s="71">
        <v>0.236843637</v>
      </c>
      <c r="Y77" s="71">
        <v>0.23046385599999999</v>
      </c>
      <c r="Z77" s="71">
        <v>-3.6204436E-2</v>
      </c>
      <c r="AA77" s="71">
        <v>-4.5391092000000001E-2</v>
      </c>
      <c r="AB77" s="71">
        <v>-6.2799356000000001E-2</v>
      </c>
      <c r="AC77" s="71">
        <v>-7.4466530000000003E-2</v>
      </c>
      <c r="AD77" s="71">
        <v>-7.2646098000000006E-2</v>
      </c>
      <c r="AE77" s="71">
        <v>-6.9413663E-2</v>
      </c>
      <c r="AF77" s="71">
        <v>-6.2221907999999999E-2</v>
      </c>
      <c r="AG77" s="71">
        <v>0.15918246699999999</v>
      </c>
      <c r="AH77" s="71">
        <v>0.17191274500000001</v>
      </c>
      <c r="AI77" s="71">
        <v>0.19763744</v>
      </c>
      <c r="AJ77" s="71">
        <v>0.21863316399999999</v>
      </c>
      <c r="AK77" s="71">
        <v>0.22041090699999999</v>
      </c>
      <c r="AL77" s="71">
        <v>0.21906930099999999</v>
      </c>
      <c r="AM77" s="71">
        <v>0.21177774199999999</v>
      </c>
      <c r="AN77" s="71">
        <v>0.31180316200000002</v>
      </c>
      <c r="AO77" s="71">
        <v>-4.4895710999999998E-2</v>
      </c>
      <c r="AP77" s="71">
        <v>0.38411091600000002</v>
      </c>
    </row>
    <row r="78" spans="1:42" x14ac:dyDescent="0.2">
      <c r="A78" t="s">
        <v>191</v>
      </c>
      <c r="B78" t="s">
        <v>129</v>
      </c>
      <c r="C78" t="s">
        <v>199</v>
      </c>
      <c r="D78" t="s">
        <v>198</v>
      </c>
      <c r="E78" s="71">
        <v>8.0546020999999995E-2</v>
      </c>
      <c r="F78" s="71">
        <v>7.9769014999999999E-2</v>
      </c>
      <c r="G78" s="71">
        <v>7.8173040999999999E-2</v>
      </c>
      <c r="H78" s="71">
        <v>7.6370834999999998E-2</v>
      </c>
      <c r="I78" s="71">
        <v>7.5386762999999996E-2</v>
      </c>
      <c r="J78" s="71">
        <v>7.4804068000000001E-2</v>
      </c>
      <c r="K78" s="71">
        <v>7.4423431999999998E-2</v>
      </c>
      <c r="L78" s="71">
        <v>-5.8447730000000002E-3</v>
      </c>
      <c r="M78" s="71">
        <v>-1.258856E-3</v>
      </c>
      <c r="N78" s="71">
        <v>-6.7255300000000004E-3</v>
      </c>
      <c r="O78" s="71">
        <v>-1.0234956999999999E-2</v>
      </c>
      <c r="P78" s="71">
        <v>-1.0271027E-2</v>
      </c>
      <c r="Q78" s="71">
        <v>-8.7097760000000007E-3</v>
      </c>
      <c r="R78" s="71">
        <v>-4.207985E-3</v>
      </c>
      <c r="S78" s="71">
        <v>0.17435525199999999</v>
      </c>
      <c r="T78" s="71">
        <v>0.168329165</v>
      </c>
      <c r="U78" s="71">
        <v>0.16967813200000001</v>
      </c>
      <c r="V78" s="71">
        <v>0.170905529</v>
      </c>
      <c r="W78" s="71">
        <v>0.16922346999999999</v>
      </c>
      <c r="X78" s="71">
        <v>0.165556123</v>
      </c>
      <c r="Y78" s="71">
        <v>0.15957018100000001</v>
      </c>
      <c r="Z78" s="71">
        <v>2.0681466999999999E-2</v>
      </c>
      <c r="AA78" s="71">
        <v>1.8127127999999999E-2</v>
      </c>
      <c r="AB78" s="71">
        <v>2.0068429999999999E-3</v>
      </c>
      <c r="AC78" s="71">
        <v>-1.1804902000000001E-2</v>
      </c>
      <c r="AD78" s="71">
        <v>-1.0811958E-2</v>
      </c>
      <c r="AE78" s="71">
        <v>-7.1250599999999999E-3</v>
      </c>
      <c r="AF78" s="71">
        <v>-1.9025050000000001E-3</v>
      </c>
      <c r="AG78" s="71">
        <v>0.143921616</v>
      </c>
      <c r="AH78" s="71">
        <v>0.1451432</v>
      </c>
      <c r="AI78" s="71">
        <v>0.16012889299999999</v>
      </c>
      <c r="AJ78" s="71">
        <v>0.17241445599999999</v>
      </c>
      <c r="AK78" s="71">
        <v>0.169096841</v>
      </c>
      <c r="AL78" s="71">
        <v>0.16349372300000001</v>
      </c>
      <c r="AM78" s="71">
        <v>0.15658625800000001</v>
      </c>
      <c r="AN78" s="71">
        <v>0.187890483</v>
      </c>
      <c r="AO78" s="71">
        <v>-2.8579872999999999E-2</v>
      </c>
      <c r="AP78" s="71">
        <v>0.42225919699999998</v>
      </c>
    </row>
    <row r="79" spans="1:42" x14ac:dyDescent="0.2">
      <c r="A79" t="s">
        <v>138</v>
      </c>
      <c r="B79" t="s">
        <v>129</v>
      </c>
      <c r="C79" t="s">
        <v>156</v>
      </c>
      <c r="D79" t="s">
        <v>155</v>
      </c>
      <c r="E79" s="71">
        <v>6.1695933000000001E-2</v>
      </c>
      <c r="F79" s="71">
        <v>6.1764956000000003E-2</v>
      </c>
      <c r="G79" s="75">
        <v>6.1874390000000001E-2</v>
      </c>
      <c r="H79" s="71">
        <v>6.1892508999999998E-2</v>
      </c>
      <c r="I79" s="71">
        <v>6.178844E-2</v>
      </c>
      <c r="J79" s="71">
        <v>6.1648965E-2</v>
      </c>
      <c r="K79" s="71">
        <v>6.1512588999999999E-2</v>
      </c>
      <c r="L79" s="71">
        <v>-9.9440629999999995E-3</v>
      </c>
      <c r="M79" s="71">
        <v>-4.3208270000000002E-3</v>
      </c>
      <c r="N79" s="71">
        <v>-1.615071E-3</v>
      </c>
      <c r="O79" s="71">
        <v>-1.116704E-3</v>
      </c>
      <c r="P79" s="71">
        <v>4.1543999999999999E-4</v>
      </c>
      <c r="Q79" s="71">
        <v>2.074827E-3</v>
      </c>
      <c r="R79" s="71">
        <v>5.8600190000000002E-3</v>
      </c>
      <c r="S79" s="71">
        <v>0.13882433499999999</v>
      </c>
      <c r="T79" s="71">
        <v>0.13134459400000001</v>
      </c>
      <c r="U79" s="71">
        <v>0.12976831599999999</v>
      </c>
      <c r="V79" s="71">
        <v>0.12866483200000001</v>
      </c>
      <c r="W79" s="71">
        <v>0.125474277</v>
      </c>
      <c r="X79" s="71">
        <v>0.12251081</v>
      </c>
      <c r="Y79" s="71">
        <v>0.119522828</v>
      </c>
      <c r="Z79" s="71">
        <v>1.5774221000000001E-2</v>
      </c>
      <c r="AA79" s="71">
        <v>1.7250863000000002E-2</v>
      </c>
      <c r="AB79" s="71">
        <v>1.1466199999999999E-2</v>
      </c>
      <c r="AC79" s="71">
        <v>7.0114050000000001E-3</v>
      </c>
      <c r="AD79" s="71">
        <v>8.1696570000000003E-3</v>
      </c>
      <c r="AE79" s="71">
        <v>9.2939149999999998E-3</v>
      </c>
      <c r="AF79" s="71">
        <v>1.2089160999999999E-2</v>
      </c>
      <c r="AG79" s="71">
        <v>0.109693754</v>
      </c>
      <c r="AH79" s="71">
        <v>0.108226771</v>
      </c>
      <c r="AI79" s="71">
        <v>0.11479492600000001</v>
      </c>
      <c r="AJ79" s="71">
        <v>0.11976468999999999</v>
      </c>
      <c r="AK79" s="71">
        <v>0.118258822</v>
      </c>
      <c r="AL79" s="71">
        <v>0.116719697</v>
      </c>
      <c r="AM79" s="71">
        <v>0.113349664</v>
      </c>
      <c r="AN79" s="71">
        <v>0.17770641200000001</v>
      </c>
      <c r="AO79" s="71">
        <v>0.196752869</v>
      </c>
      <c r="AP79" s="71">
        <v>0.74993704500000002</v>
      </c>
    </row>
    <row r="80" spans="1:42" x14ac:dyDescent="0.2">
      <c r="A80" t="s">
        <v>240</v>
      </c>
      <c r="B80" t="s">
        <v>129</v>
      </c>
      <c r="C80" t="s">
        <v>156</v>
      </c>
      <c r="D80" t="s">
        <v>155</v>
      </c>
      <c r="E80" s="71">
        <v>4.7042489E-2</v>
      </c>
      <c r="F80" s="71">
        <v>4.7218204E-2</v>
      </c>
      <c r="G80" s="71">
        <v>4.7640920000000003E-2</v>
      </c>
      <c r="H80" s="71">
        <v>4.8239945999999999E-2</v>
      </c>
      <c r="I80" s="71">
        <v>4.8647045999999999E-2</v>
      </c>
      <c r="J80" s="71">
        <v>4.8922181000000002E-2</v>
      </c>
      <c r="K80" s="71">
        <v>4.9114704000000002E-2</v>
      </c>
      <c r="L80" s="71">
        <v>-2.0515255999999999E-2</v>
      </c>
      <c r="M80" s="71">
        <v>-1.5799384E-2</v>
      </c>
      <c r="N80" s="71">
        <v>-1.4288445E-2</v>
      </c>
      <c r="O80" s="71">
        <v>-1.1343845999999999E-2</v>
      </c>
      <c r="P80" s="71">
        <v>-9.8947770000000004E-3</v>
      </c>
      <c r="Q80" s="71">
        <v>-6.327666E-3</v>
      </c>
      <c r="R80" s="71">
        <v>-5.0374299999999999E-3</v>
      </c>
      <c r="S80" s="71">
        <v>0.120170735</v>
      </c>
      <c r="T80" s="71">
        <v>0.114210228</v>
      </c>
      <c r="U80" s="71">
        <v>0.113534887</v>
      </c>
      <c r="V80" s="71">
        <v>0.11425118099999999</v>
      </c>
      <c r="W80" s="71">
        <v>0.110706761</v>
      </c>
      <c r="X80" s="71">
        <v>0.108125666</v>
      </c>
      <c r="Y80" s="71">
        <v>0.105894934</v>
      </c>
      <c r="Z80" s="71">
        <v>1.0006360000000001E-3</v>
      </c>
      <c r="AA80" s="71">
        <v>1.0883589999999999E-3</v>
      </c>
      <c r="AB80" s="71">
        <v>-2.8663439999999998E-3</v>
      </c>
      <c r="AC80" s="71">
        <v>-4.9335339999999998E-3</v>
      </c>
      <c r="AD80" s="71">
        <v>-4.2531490000000003E-3</v>
      </c>
      <c r="AE80" s="71">
        <v>-6.2649749999999999E-3</v>
      </c>
      <c r="AF80" s="71">
        <v>-3.2433710000000001E-3</v>
      </c>
      <c r="AG80" s="71">
        <v>9.5202159999999994E-2</v>
      </c>
      <c r="AH80" s="71">
        <v>9.5473568999999994E-2</v>
      </c>
      <c r="AI80" s="71">
        <v>0.100706483</v>
      </c>
      <c r="AJ80" s="71">
        <v>0.104254949</v>
      </c>
      <c r="AK80" s="71">
        <v>0.10435765900000001</v>
      </c>
      <c r="AL80" s="71">
        <v>0.107174094</v>
      </c>
      <c r="AM80" s="71">
        <v>0.104223122</v>
      </c>
      <c r="AN80" s="71">
        <v>0.16281368900000001</v>
      </c>
      <c r="AO80" s="71">
        <v>-1.987798E-2</v>
      </c>
      <c r="AP80" s="71">
        <v>0.68485864299999999</v>
      </c>
    </row>
    <row r="81" spans="1:42" x14ac:dyDescent="0.2">
      <c r="A81" t="s">
        <v>224</v>
      </c>
      <c r="B81" t="s">
        <v>129</v>
      </c>
      <c r="C81" t="s">
        <v>156</v>
      </c>
      <c r="D81" t="s">
        <v>155</v>
      </c>
      <c r="E81" s="71">
        <v>5.1300644999999999E-2</v>
      </c>
      <c r="F81" s="71">
        <v>5.1560282999999998E-2</v>
      </c>
      <c r="G81" s="71">
        <v>5.2069783000000001E-2</v>
      </c>
      <c r="H81" s="71">
        <v>5.2508711999999999E-2</v>
      </c>
      <c r="I81" s="71">
        <v>5.2566290000000002E-2</v>
      </c>
      <c r="J81" s="71">
        <v>5.2462100999999997E-2</v>
      </c>
      <c r="K81" s="71">
        <v>5.2309036000000003E-2</v>
      </c>
      <c r="L81" s="71">
        <v>-1.4931721E-2</v>
      </c>
      <c r="M81" s="71">
        <v>-1.0649387999999999E-2</v>
      </c>
      <c r="N81" s="71">
        <v>-8.4226319999999993E-3</v>
      </c>
      <c r="O81" s="71">
        <v>-8.0780160000000004E-3</v>
      </c>
      <c r="P81" s="71">
        <v>-5.4738340000000003E-3</v>
      </c>
      <c r="Q81" s="71">
        <v>-2.850614E-3</v>
      </c>
      <c r="R81" s="71">
        <v>-4.33003E-4</v>
      </c>
      <c r="S81" s="71">
        <v>0.12276313599999999</v>
      </c>
      <c r="T81" s="71">
        <v>0.11743736</v>
      </c>
      <c r="U81" s="71">
        <v>0.116943801</v>
      </c>
      <c r="V81" s="71">
        <v>0.11721809399999999</v>
      </c>
      <c r="W81" s="71">
        <v>0.11480164399999999</v>
      </c>
      <c r="X81" s="71">
        <v>0.111570103</v>
      </c>
      <c r="Y81" s="71">
        <v>0.108861869</v>
      </c>
      <c r="Z81" s="71">
        <v>6.5399200000000003E-3</v>
      </c>
      <c r="AA81" s="71">
        <v>5.7471859999999996E-3</v>
      </c>
      <c r="AB81" s="71">
        <v>8.6577900000000001E-4</v>
      </c>
      <c r="AC81" s="71">
        <v>-4.9860340000000003E-3</v>
      </c>
      <c r="AD81" s="71">
        <v>-3.1505140000000001E-3</v>
      </c>
      <c r="AE81" s="71">
        <v>-5.0365499999999999E-4</v>
      </c>
      <c r="AF81" s="71">
        <v>3.1265199999999998E-3</v>
      </c>
      <c r="AG81" s="71">
        <v>9.8051699000000006E-2</v>
      </c>
      <c r="AH81" s="71">
        <v>9.9460204999999996E-2</v>
      </c>
      <c r="AI81" s="71">
        <v>0.105893212</v>
      </c>
      <c r="AJ81" s="71">
        <v>0.113325758</v>
      </c>
      <c r="AK81" s="71">
        <v>0.111397458</v>
      </c>
      <c r="AL81" s="71">
        <v>0.10823466</v>
      </c>
      <c r="AM81" s="71">
        <v>0.10390284499999999</v>
      </c>
      <c r="AN81" s="71">
        <v>0.16140239000000001</v>
      </c>
      <c r="AO81" s="71">
        <v>0.122198275</v>
      </c>
      <c r="AP81" s="71">
        <v>0.67471646200000002</v>
      </c>
    </row>
    <row r="82" spans="1:42" x14ac:dyDescent="0.2">
      <c r="A82" t="s">
        <v>138</v>
      </c>
      <c r="B82" t="s">
        <v>129</v>
      </c>
      <c r="C82" t="s">
        <v>360</v>
      </c>
      <c r="D82" t="s">
        <v>161</v>
      </c>
      <c r="E82" s="71">
        <v>3.7046909000000003E-2</v>
      </c>
      <c r="F82" s="71">
        <v>3.9480925E-2</v>
      </c>
      <c r="G82" s="75">
        <v>4.5306683E-2</v>
      </c>
      <c r="H82" s="71">
        <v>5.3478479000000002E-2</v>
      </c>
      <c r="I82" s="71">
        <v>5.8949947000000003E-2</v>
      </c>
      <c r="J82" s="71">
        <v>6.2594055999999995E-2</v>
      </c>
      <c r="K82" s="71">
        <v>6.5114020999999994E-2</v>
      </c>
      <c r="L82" s="71">
        <v>-3.6256246999999998E-2</v>
      </c>
      <c r="M82" s="71">
        <v>-2.4940763000000001E-2</v>
      </c>
      <c r="N82" s="71">
        <v>-1.3750514E-2</v>
      </c>
      <c r="O82" s="71">
        <v>-7.9412800000000006E-5</v>
      </c>
      <c r="P82" s="71">
        <v>8.7457799999999999E-3</v>
      </c>
      <c r="Q82" s="71">
        <v>1.5060507000000001E-2</v>
      </c>
      <c r="R82" s="71">
        <v>1.9733005000000001E-2</v>
      </c>
      <c r="S82" s="71">
        <v>0.11614299</v>
      </c>
      <c r="T82" s="71">
        <v>0.107799834</v>
      </c>
      <c r="U82" s="71">
        <v>0.107486079</v>
      </c>
      <c r="V82" s="71">
        <v>0.11027366500000001</v>
      </c>
      <c r="W82" s="71">
        <v>0.111324063</v>
      </c>
      <c r="X82" s="71">
        <v>0.112627292</v>
      </c>
      <c r="Y82" s="71">
        <v>0.11240760299999999</v>
      </c>
      <c r="Z82" s="71">
        <v>4.325097E-3</v>
      </c>
      <c r="AA82" s="71">
        <v>6.869198E-3</v>
      </c>
      <c r="AB82" s="71">
        <v>1.0304172E-2</v>
      </c>
      <c r="AC82" s="71">
        <v>1.568108E-2</v>
      </c>
      <c r="AD82" s="71">
        <v>1.9839757999999999E-2</v>
      </c>
      <c r="AE82" s="71">
        <v>2.3470135999999999E-2</v>
      </c>
      <c r="AF82" s="71">
        <v>2.7308685999999999E-2</v>
      </c>
      <c r="AG82" s="71">
        <v>7.0834933000000003E-2</v>
      </c>
      <c r="AH82" s="71">
        <v>7.3148689000000003E-2</v>
      </c>
      <c r="AI82" s="71">
        <v>8.1521775000000005E-2</v>
      </c>
      <c r="AJ82" s="71">
        <v>9.2682584999999998E-2</v>
      </c>
      <c r="AK82" s="71">
        <v>9.9560124E-2</v>
      </c>
      <c r="AL82" s="71">
        <v>0.103213387</v>
      </c>
      <c r="AM82" s="71">
        <v>0.104310523</v>
      </c>
      <c r="AN82" s="71">
        <v>0.21597485499999999</v>
      </c>
      <c r="AO82" s="71">
        <v>-4.0970395999999999E-2</v>
      </c>
      <c r="AP82" s="71">
        <v>0.88602800699999995</v>
      </c>
    </row>
    <row r="83" spans="1:42" x14ac:dyDescent="0.2">
      <c r="A83" t="s">
        <v>138</v>
      </c>
      <c r="B83" t="s">
        <v>129</v>
      </c>
      <c r="C83" t="s">
        <v>158</v>
      </c>
      <c r="D83" t="s">
        <v>157</v>
      </c>
      <c r="E83" s="71">
        <v>5.0503850000000003E-2</v>
      </c>
      <c r="F83" s="71">
        <v>5.1306962999999997E-2</v>
      </c>
      <c r="G83" s="75">
        <v>5.3186654999999999E-2</v>
      </c>
      <c r="H83" s="71">
        <v>5.5718541000000003E-2</v>
      </c>
      <c r="I83" s="71">
        <v>5.7325959000000003E-2</v>
      </c>
      <c r="J83" s="71">
        <v>5.8344603000000002E-2</v>
      </c>
      <c r="K83" s="71">
        <v>5.9019923000000002E-2</v>
      </c>
      <c r="L83" s="71">
        <v>-9.7442299999999998E-4</v>
      </c>
      <c r="M83" s="71">
        <v>4.082731E-3</v>
      </c>
      <c r="N83" s="71">
        <v>6.0947709999999997E-3</v>
      </c>
      <c r="O83" s="71">
        <v>7.753355E-3</v>
      </c>
      <c r="P83" s="71">
        <v>9.6439309999999997E-3</v>
      </c>
      <c r="Q83" s="71">
        <v>1.2403063000000001E-2</v>
      </c>
      <c r="R83" s="71">
        <v>1.5109574000000001E-2</v>
      </c>
      <c r="S83" s="71">
        <v>0.10591291899999999</v>
      </c>
      <c r="T83" s="71">
        <v>0.101754098</v>
      </c>
      <c r="U83" s="71">
        <v>0.102364738</v>
      </c>
      <c r="V83" s="71">
        <v>0.105533974</v>
      </c>
      <c r="W83" s="71">
        <v>0.106755478</v>
      </c>
      <c r="X83" s="71">
        <v>0.106422566</v>
      </c>
      <c r="Y83" s="71">
        <v>0.105049376</v>
      </c>
      <c r="Z83" s="71">
        <v>2.2317896E-2</v>
      </c>
      <c r="AA83" s="71">
        <v>2.0382549E-2</v>
      </c>
      <c r="AB83" s="71">
        <v>1.4915355999999999E-2</v>
      </c>
      <c r="AC83" s="71">
        <v>1.2073521E-2</v>
      </c>
      <c r="AD83" s="71">
        <v>1.4378129999999999E-2</v>
      </c>
      <c r="AE83" s="71">
        <v>1.6821609000000001E-2</v>
      </c>
      <c r="AF83" s="71">
        <v>1.8896487E-2</v>
      </c>
      <c r="AG83" s="71">
        <v>7.9466769000000007E-2</v>
      </c>
      <c r="AH83" s="71">
        <v>8.3168527000000006E-2</v>
      </c>
      <c r="AI83" s="71">
        <v>9.2901099000000001E-2</v>
      </c>
      <c r="AJ83" s="71">
        <v>0.101245799</v>
      </c>
      <c r="AK83" s="71">
        <v>0.102092324</v>
      </c>
      <c r="AL83" s="71">
        <v>0.101563376</v>
      </c>
      <c r="AM83" s="71">
        <v>0.100723429</v>
      </c>
      <c r="AN83" s="71">
        <v>0.13571704900000001</v>
      </c>
      <c r="AO83" s="71">
        <v>0.11263864699999999</v>
      </c>
      <c r="AP83" s="71">
        <v>0.78303976099999995</v>
      </c>
    </row>
    <row r="84" spans="1:42" x14ac:dyDescent="0.2">
      <c r="A84" t="s">
        <v>240</v>
      </c>
      <c r="B84" t="s">
        <v>129</v>
      </c>
      <c r="C84" t="s">
        <v>158</v>
      </c>
      <c r="D84" t="s">
        <v>157</v>
      </c>
      <c r="E84" s="71">
        <v>3.6004900999999999E-2</v>
      </c>
      <c r="F84" s="71">
        <v>3.6903500999999998E-2</v>
      </c>
      <c r="G84" s="71">
        <v>3.9069532999999997E-2</v>
      </c>
      <c r="H84" s="71">
        <v>4.2145371000000001E-2</v>
      </c>
      <c r="I84" s="71">
        <v>4.4239998000000003E-2</v>
      </c>
      <c r="J84" s="71">
        <v>4.5657516000000002E-2</v>
      </c>
      <c r="K84" s="71">
        <v>4.6651125000000002E-2</v>
      </c>
      <c r="L84" s="71">
        <v>-1.4312144000000001E-2</v>
      </c>
      <c r="M84" s="71">
        <v>-1.0675524E-2</v>
      </c>
      <c r="N84" s="71">
        <v>-7.5659810000000003E-3</v>
      </c>
      <c r="O84" s="71">
        <v>-5.7729970000000002E-3</v>
      </c>
      <c r="P84" s="71">
        <v>-2.7180030000000001E-3</v>
      </c>
      <c r="Q84" s="71">
        <v>-5.5593199999999998E-4</v>
      </c>
      <c r="R84" s="71">
        <v>1.4073880000000001E-3</v>
      </c>
      <c r="S84" s="71">
        <v>8.9009301999999998E-2</v>
      </c>
      <c r="T84" s="71">
        <v>8.5699068000000003E-2</v>
      </c>
      <c r="U84" s="71">
        <v>8.8464662999999999E-2</v>
      </c>
      <c r="V84" s="71">
        <v>9.2053172000000003E-2</v>
      </c>
      <c r="W84" s="71">
        <v>9.4661888E-2</v>
      </c>
      <c r="X84" s="71">
        <v>9.4037521999999998E-2</v>
      </c>
      <c r="Y84" s="71">
        <v>9.4437135000000005E-2</v>
      </c>
      <c r="Z84" s="71">
        <v>5.6505599999999998E-3</v>
      </c>
      <c r="AA84" s="71">
        <v>4.7220379999999996E-3</v>
      </c>
      <c r="AB84" s="71">
        <v>8.3904599999999998E-4</v>
      </c>
      <c r="AC84" s="71">
        <v>-6.46015E-4</v>
      </c>
      <c r="AD84" s="71">
        <v>2.8651399999999997E-4</v>
      </c>
      <c r="AE84" s="71">
        <v>1.639244E-3</v>
      </c>
      <c r="AF84" s="71">
        <v>3.0252780000000002E-3</v>
      </c>
      <c r="AG84" s="71">
        <v>6.7275297999999997E-2</v>
      </c>
      <c r="AH84" s="71">
        <v>7.0115707999999999E-2</v>
      </c>
      <c r="AI84" s="71">
        <v>7.8760390999999999E-2</v>
      </c>
      <c r="AJ84" s="71">
        <v>8.6769059999999995E-2</v>
      </c>
      <c r="AK84" s="71">
        <v>9.0124693000000006E-2</v>
      </c>
      <c r="AL84" s="71">
        <v>9.1610257E-2</v>
      </c>
      <c r="AM84" s="71">
        <v>9.2174456000000002E-2</v>
      </c>
      <c r="AN84" s="71">
        <v>0.12807007400000001</v>
      </c>
      <c r="AO84" s="71">
        <v>-0.13096379899999999</v>
      </c>
      <c r="AP84" s="71">
        <v>0.66801468600000002</v>
      </c>
    </row>
    <row r="85" spans="1:42" x14ac:dyDescent="0.2">
      <c r="A85" t="s">
        <v>224</v>
      </c>
      <c r="B85" t="s">
        <v>129</v>
      </c>
      <c r="C85" t="s">
        <v>158</v>
      </c>
      <c r="D85" t="s">
        <v>157</v>
      </c>
      <c r="E85" s="71">
        <v>4.0217995999999999E-2</v>
      </c>
      <c r="F85" s="71">
        <v>4.1202783999999999E-2</v>
      </c>
      <c r="G85" s="71">
        <v>4.3462038000000001E-2</v>
      </c>
      <c r="H85" s="71">
        <v>4.6389341000000001E-2</v>
      </c>
      <c r="I85" s="71">
        <v>4.8142790999999997E-2</v>
      </c>
      <c r="J85" s="71">
        <v>4.9186348999999997E-2</v>
      </c>
      <c r="K85" s="71">
        <v>4.9837947E-2</v>
      </c>
      <c r="L85" s="71">
        <v>-1.0318427E-2</v>
      </c>
      <c r="M85" s="71">
        <v>-5.590116E-3</v>
      </c>
      <c r="N85" s="71">
        <v>-3.4567199999999999E-3</v>
      </c>
      <c r="O85" s="71">
        <v>-1.2293199999999999E-3</v>
      </c>
      <c r="P85" s="71">
        <v>1.84191E-3</v>
      </c>
      <c r="Q85" s="71">
        <v>5.5989280000000004E-3</v>
      </c>
      <c r="R85" s="71">
        <v>8.5155449999999994E-3</v>
      </c>
      <c r="S85" s="71">
        <v>9.3587818000000003E-2</v>
      </c>
      <c r="T85" s="71">
        <v>9.0706304000000001E-2</v>
      </c>
      <c r="U85" s="71">
        <v>9.2419327999999995E-2</v>
      </c>
      <c r="V85" s="71">
        <v>9.5748004999999997E-2</v>
      </c>
      <c r="W85" s="71">
        <v>9.5741030000000005E-2</v>
      </c>
      <c r="X85" s="71">
        <v>9.4804596000000005E-2</v>
      </c>
      <c r="Y85" s="71">
        <v>9.290909E-2</v>
      </c>
      <c r="Z85" s="71">
        <v>8.5302150000000007E-3</v>
      </c>
      <c r="AA85" s="71">
        <v>9.0791259999999999E-3</v>
      </c>
      <c r="AB85" s="71">
        <v>6.4330159999999997E-3</v>
      </c>
      <c r="AC85" s="71">
        <v>3.6999559999999999E-3</v>
      </c>
      <c r="AD85" s="71">
        <v>5.7720799999999997E-3</v>
      </c>
      <c r="AE85" s="71">
        <v>7.4606400000000002E-3</v>
      </c>
      <c r="AF85" s="71">
        <v>1.0575263999999999E-2</v>
      </c>
      <c r="AG85" s="71">
        <v>7.2901347000000005E-2</v>
      </c>
      <c r="AH85" s="71">
        <v>7.4349208999999999E-2</v>
      </c>
      <c r="AI85" s="71">
        <v>8.1853571E-2</v>
      </c>
      <c r="AJ85" s="71">
        <v>9.0894335000000007E-2</v>
      </c>
      <c r="AK85" s="71">
        <v>9.2298395000000005E-2</v>
      </c>
      <c r="AL85" s="71">
        <v>9.2640405999999995E-2</v>
      </c>
      <c r="AM85" s="71">
        <v>9.0625885000000003E-2</v>
      </c>
      <c r="AN85" s="71">
        <v>0.126613857</v>
      </c>
      <c r="AO85" s="71">
        <v>3.2453164999999999E-2</v>
      </c>
      <c r="AP85" s="71">
        <v>0.65247935800000001</v>
      </c>
    </row>
    <row r="86" spans="1:42" x14ac:dyDescent="0.2">
      <c r="A86" t="s">
        <v>288</v>
      </c>
      <c r="B86" t="s">
        <v>129</v>
      </c>
      <c r="C86" t="s">
        <v>158</v>
      </c>
      <c r="D86" t="s">
        <v>157</v>
      </c>
      <c r="E86" s="71">
        <v>4.7691941000000002E-2</v>
      </c>
      <c r="F86" s="71">
        <v>4.8802733000000001E-2</v>
      </c>
      <c r="G86" s="71">
        <v>5.1470637E-2</v>
      </c>
      <c r="H86" s="71">
        <v>5.5250287000000002E-2</v>
      </c>
      <c r="I86" s="71">
        <v>5.7822347000000003E-2</v>
      </c>
      <c r="J86" s="71">
        <v>5.9562801999999998E-2</v>
      </c>
      <c r="K86" s="71">
        <v>6.0783029000000002E-2</v>
      </c>
      <c r="L86" s="71">
        <v>1.084025E-3</v>
      </c>
      <c r="M86" s="71">
        <v>5.0394050000000003E-3</v>
      </c>
      <c r="N86" s="71">
        <v>7.0818060000000004E-3</v>
      </c>
      <c r="O86" s="71">
        <v>9.3892130000000004E-3</v>
      </c>
      <c r="P86" s="71">
        <v>1.2646678E-2</v>
      </c>
      <c r="Q86" s="71">
        <v>1.6514910000000001E-2</v>
      </c>
      <c r="R86" s="71">
        <v>1.9745992E-2</v>
      </c>
      <c r="S86" s="71">
        <v>9.5865611000000003E-2</v>
      </c>
      <c r="T86" s="71">
        <v>9.4686512E-2</v>
      </c>
      <c r="U86" s="71">
        <v>9.7937525999999997E-2</v>
      </c>
      <c r="V86" s="71">
        <v>0.10338879099999999</v>
      </c>
      <c r="W86" s="71">
        <v>0.104679672</v>
      </c>
      <c r="X86" s="71">
        <v>0.104673239</v>
      </c>
      <c r="Y86" s="71">
        <v>0.103128043</v>
      </c>
      <c r="Z86" s="71">
        <v>1.6412158999999999E-2</v>
      </c>
      <c r="AA86" s="71">
        <v>1.6861472999999998E-2</v>
      </c>
      <c r="AB86" s="71">
        <v>1.4125013E-2</v>
      </c>
      <c r="AC86" s="71">
        <v>1.4620841000000001E-2</v>
      </c>
      <c r="AD86" s="71">
        <v>1.533203E-2</v>
      </c>
      <c r="AE86" s="71">
        <v>1.9656718E-2</v>
      </c>
      <c r="AF86" s="71">
        <v>2.2691072999999999E-2</v>
      </c>
      <c r="AG86" s="71">
        <v>7.9934397000000004E-2</v>
      </c>
      <c r="AH86" s="71">
        <v>8.1747395E-2</v>
      </c>
      <c r="AI86" s="71">
        <v>9.0191536000000003E-2</v>
      </c>
      <c r="AJ86" s="71">
        <v>9.7506847999999993E-2</v>
      </c>
      <c r="AK86" s="71">
        <v>0.102090609</v>
      </c>
      <c r="AL86" s="71">
        <v>0.101030702</v>
      </c>
      <c r="AM86" s="71">
        <v>0.100293593</v>
      </c>
      <c r="AN86" s="71">
        <v>0.11380415000000001</v>
      </c>
      <c r="AO86" s="71">
        <v>-6.5984729999999997E-3</v>
      </c>
      <c r="AP86" s="71">
        <v>0.73641798999999997</v>
      </c>
    </row>
    <row r="87" spans="1:42" x14ac:dyDescent="0.2">
      <c r="A87" t="s">
        <v>272</v>
      </c>
      <c r="B87" t="s">
        <v>129</v>
      </c>
      <c r="C87" t="s">
        <v>285</v>
      </c>
      <c r="D87" t="s">
        <v>284</v>
      </c>
      <c r="E87" s="71">
        <v>3.3571243000000001E-2</v>
      </c>
      <c r="F87" s="71">
        <v>3.6296964000000001E-2</v>
      </c>
      <c r="G87" s="71">
        <v>4.2767406000000001E-2</v>
      </c>
      <c r="H87" s="71">
        <v>5.1802158000000001E-2</v>
      </c>
      <c r="I87" s="71">
        <v>5.7880281999999998E-2</v>
      </c>
      <c r="J87" s="71">
        <v>6.1971664000000003E-2</v>
      </c>
      <c r="K87" s="71">
        <v>6.4833999000000003E-2</v>
      </c>
      <c r="L87" s="71">
        <v>-1.4704553E-2</v>
      </c>
      <c r="M87" s="71">
        <v>-5.6433899999999999E-3</v>
      </c>
      <c r="N87" s="71">
        <v>5.488695E-3</v>
      </c>
      <c r="O87" s="71">
        <v>1.9408222999999999E-2</v>
      </c>
      <c r="P87" s="71">
        <v>2.8413612000000001E-2</v>
      </c>
      <c r="Q87" s="71">
        <v>3.4823382999999999E-2</v>
      </c>
      <c r="R87" s="71">
        <v>3.8836928E-2</v>
      </c>
      <c r="S87" s="71">
        <v>8.3509997000000002E-2</v>
      </c>
      <c r="T87" s="71">
        <v>8.0011065000000006E-2</v>
      </c>
      <c r="U87" s="71">
        <v>8.1536719999999993E-2</v>
      </c>
      <c r="V87" s="71">
        <v>8.5803909999999997E-2</v>
      </c>
      <c r="W87" s="71">
        <v>8.8370823000000001E-2</v>
      </c>
      <c r="X87" s="71">
        <v>9.0136702999999999E-2</v>
      </c>
      <c r="Y87" s="71">
        <v>9.1038488000000001E-2</v>
      </c>
      <c r="Z87" s="71">
        <v>1.5192633000000001E-2</v>
      </c>
      <c r="AA87" s="71">
        <v>1.7661040999999999E-2</v>
      </c>
      <c r="AB87" s="71">
        <v>2.3028403999999999E-2</v>
      </c>
      <c r="AC87" s="71">
        <v>3.2271978E-2</v>
      </c>
      <c r="AD87" s="71">
        <v>3.8999046000000002E-2</v>
      </c>
      <c r="AE87" s="71">
        <v>4.2954251999999998E-2</v>
      </c>
      <c r="AF87" s="71">
        <v>4.6443414000000002E-2</v>
      </c>
      <c r="AG87" s="71">
        <v>5.2261160000000001E-2</v>
      </c>
      <c r="AH87" s="71">
        <v>5.5253740000000003E-2</v>
      </c>
      <c r="AI87" s="71">
        <v>6.2869697000000002E-2</v>
      </c>
      <c r="AJ87" s="71">
        <v>7.1688603000000004E-2</v>
      </c>
      <c r="AK87" s="71">
        <v>7.7094146000000002E-2</v>
      </c>
      <c r="AL87" s="71">
        <v>8.1327459000000005E-2</v>
      </c>
      <c r="AM87" s="71">
        <v>8.3540742000000001E-2</v>
      </c>
      <c r="AN87" s="71">
        <v>0.14581461800000001</v>
      </c>
      <c r="AO87" s="71">
        <v>-6.8769325000000006E-2</v>
      </c>
      <c r="AP87" s="71">
        <v>1</v>
      </c>
    </row>
    <row r="88" spans="1:42" x14ac:dyDescent="0.2">
      <c r="A88" t="s">
        <v>259</v>
      </c>
      <c r="B88" t="s">
        <v>129</v>
      </c>
      <c r="C88" t="s">
        <v>271</v>
      </c>
      <c r="D88" t="s">
        <v>270</v>
      </c>
      <c r="E88" s="71">
        <v>7.4217081000000004E-2</v>
      </c>
      <c r="F88" s="71">
        <v>7.2838783000000004E-2</v>
      </c>
      <c r="G88" s="71">
        <v>6.9294453000000006E-2</v>
      </c>
      <c r="H88" s="71">
        <v>6.3887953999999997E-2</v>
      </c>
      <c r="I88" s="71">
        <v>6.0009121999999998E-2</v>
      </c>
      <c r="J88" s="71">
        <v>5.7316660999999998E-2</v>
      </c>
      <c r="K88" s="71">
        <v>5.5408238999999998E-2</v>
      </c>
      <c r="L88" s="71">
        <v>1.091718E-2</v>
      </c>
      <c r="M88" s="71">
        <v>1.3595213E-2</v>
      </c>
      <c r="N88" s="71">
        <v>9.1303340000000004E-3</v>
      </c>
      <c r="O88" s="71">
        <v>3.589676E-3</v>
      </c>
      <c r="P88" s="71">
        <v>1.2409260000000001E-3</v>
      </c>
      <c r="Q88" s="71">
        <v>1.6359949999999999E-3</v>
      </c>
      <c r="R88" s="71">
        <v>2.2678170000000001E-3</v>
      </c>
      <c r="S88" s="71">
        <v>0.14284846900000001</v>
      </c>
      <c r="T88" s="71">
        <v>0.13660929299999999</v>
      </c>
      <c r="U88" s="71">
        <v>0.13398505299999999</v>
      </c>
      <c r="V88" s="71">
        <v>0.128442373</v>
      </c>
      <c r="W88" s="71">
        <v>0.122873027</v>
      </c>
      <c r="X88" s="71">
        <v>0.11626257299999999</v>
      </c>
      <c r="Y88" s="71">
        <v>0.11161014900000001</v>
      </c>
      <c r="Z88" s="71">
        <v>2.6855892999999999E-2</v>
      </c>
      <c r="AA88" s="71">
        <v>2.4893637999999999E-2</v>
      </c>
      <c r="AB88" s="71">
        <v>1.5653021E-2</v>
      </c>
      <c r="AC88" s="71">
        <v>1.1130253999999999E-2</v>
      </c>
      <c r="AD88" s="71">
        <v>6.3543289999999997E-3</v>
      </c>
      <c r="AE88" s="71">
        <v>5.5461659999999999E-3</v>
      </c>
      <c r="AF88" s="71">
        <v>5.1773189999999997E-3</v>
      </c>
      <c r="AG88" s="71">
        <v>0.12376244</v>
      </c>
      <c r="AH88" s="71">
        <v>0.12302682</v>
      </c>
      <c r="AI88" s="71">
        <v>0.12576889499999999</v>
      </c>
      <c r="AJ88" s="71">
        <v>0.119398396</v>
      </c>
      <c r="AK88" s="71">
        <v>0.116524528</v>
      </c>
      <c r="AL88" s="71">
        <v>0.111752593</v>
      </c>
      <c r="AM88" s="71">
        <v>0.10814945099999999</v>
      </c>
      <c r="AN88" s="71">
        <v>0.14946541799999999</v>
      </c>
      <c r="AO88" s="71">
        <v>-0.13241470299999999</v>
      </c>
      <c r="AP88" s="71">
        <v>0.80639605599999997</v>
      </c>
    </row>
    <row r="89" spans="1:42" x14ac:dyDescent="0.2">
      <c r="A89" t="s">
        <v>254</v>
      </c>
      <c r="B89" t="s">
        <v>129</v>
      </c>
      <c r="C89" t="s">
        <v>221</v>
      </c>
      <c r="D89" t="s">
        <v>220</v>
      </c>
      <c r="E89" s="71">
        <v>2.3662328999999999E-2</v>
      </c>
      <c r="F89" s="71">
        <v>2.8783797999999999E-2</v>
      </c>
      <c r="G89" s="71">
        <v>4.0910720999999997E-2</v>
      </c>
      <c r="H89" s="71">
        <v>5.7772994000000001E-2</v>
      </c>
      <c r="I89" s="71">
        <v>6.9057225999999999E-2</v>
      </c>
      <c r="J89" s="71">
        <v>7.6625466000000003E-2</v>
      </c>
      <c r="K89" s="71">
        <v>8.1911324999999993E-2</v>
      </c>
      <c r="L89" s="71">
        <v>-7.5263259999999998E-2</v>
      </c>
      <c r="M89" s="71">
        <v>-6.3679931999999995E-2</v>
      </c>
      <c r="N89" s="71">
        <v>-5.3131189000000002E-2</v>
      </c>
      <c r="O89" s="71">
        <v>-3.4776327000000003E-2</v>
      </c>
      <c r="P89" s="71">
        <v>-2.1296492E-2</v>
      </c>
      <c r="Q89" s="71">
        <v>-1.1875563E-2</v>
      </c>
      <c r="R89" s="71">
        <v>-2.995606E-3</v>
      </c>
      <c r="S89" s="71">
        <v>0.13178136400000001</v>
      </c>
      <c r="T89" s="71">
        <v>0.130346038</v>
      </c>
      <c r="U89" s="71">
        <v>0.141754571</v>
      </c>
      <c r="V89" s="71">
        <v>0.16031912400000001</v>
      </c>
      <c r="W89" s="71">
        <v>0.16835719099999999</v>
      </c>
      <c r="X89" s="71">
        <v>0.17295265000000001</v>
      </c>
      <c r="Y89" s="71">
        <v>0.17313685100000001</v>
      </c>
      <c r="Z89" s="71">
        <v>-4.2090768000000001E-2</v>
      </c>
      <c r="AA89" s="71">
        <v>-3.6544674999999999E-2</v>
      </c>
      <c r="AB89" s="71">
        <v>-3.1586633000000003E-2</v>
      </c>
      <c r="AC89" s="71">
        <v>-2.1081612E-2</v>
      </c>
      <c r="AD89" s="71">
        <v>-7.5622720000000001E-3</v>
      </c>
      <c r="AE89" s="71">
        <v>-1.8235160000000001E-3</v>
      </c>
      <c r="AF89" s="71">
        <v>6.2495739999999999E-3</v>
      </c>
      <c r="AG89" s="71">
        <v>9.3928846999999996E-2</v>
      </c>
      <c r="AH89" s="71">
        <v>9.8541882999999997E-2</v>
      </c>
      <c r="AI89" s="71">
        <v>0.118835476</v>
      </c>
      <c r="AJ89" s="71">
        <v>0.14297963499999999</v>
      </c>
      <c r="AK89" s="71">
        <v>0.15159186399999999</v>
      </c>
      <c r="AL89" s="71">
        <v>0.16124018800000001</v>
      </c>
      <c r="AM89" s="71">
        <v>0.163262137</v>
      </c>
      <c r="AN89" s="71">
        <v>0.25764057899999998</v>
      </c>
      <c r="AO89" s="71">
        <v>-0.186181758</v>
      </c>
      <c r="AP89" s="71">
        <v>0.59345337499999995</v>
      </c>
    </row>
    <row r="90" spans="1:42" x14ac:dyDescent="0.2">
      <c r="A90" t="s">
        <v>214</v>
      </c>
      <c r="B90" t="s">
        <v>129</v>
      </c>
      <c r="C90" t="s">
        <v>221</v>
      </c>
      <c r="D90" t="s">
        <v>220</v>
      </c>
      <c r="E90" s="71">
        <v>3.8919926000000001E-2</v>
      </c>
      <c r="F90" s="71">
        <v>4.2122602000000002E-2</v>
      </c>
      <c r="G90" s="71">
        <v>4.9909472000000003E-2</v>
      </c>
      <c r="H90" s="71">
        <v>6.1126232000000003E-2</v>
      </c>
      <c r="I90" s="71">
        <v>6.8881868999999998E-2</v>
      </c>
      <c r="J90" s="71">
        <v>7.4190378000000001E-2</v>
      </c>
      <c r="K90" s="71">
        <v>7.7940582999999994E-2</v>
      </c>
      <c r="L90" s="71">
        <v>-6.2345602E-2</v>
      </c>
      <c r="M90" s="71">
        <v>-4.9525468000000003E-2</v>
      </c>
      <c r="N90" s="71">
        <v>-4.1758661000000002E-2</v>
      </c>
      <c r="O90" s="71">
        <v>-3.2109889000000003E-2</v>
      </c>
      <c r="P90" s="71">
        <v>-2.3145256999999999E-2</v>
      </c>
      <c r="Q90" s="71">
        <v>-1.4057783000000001E-2</v>
      </c>
      <c r="R90" s="71">
        <v>-7.4961380000000003E-3</v>
      </c>
      <c r="S90" s="71">
        <v>0.14940145199999999</v>
      </c>
      <c r="T90" s="71">
        <v>0.143100584</v>
      </c>
      <c r="U90" s="71">
        <v>0.14915614899999999</v>
      </c>
      <c r="V90" s="71">
        <v>0.16372255299999999</v>
      </c>
      <c r="W90" s="71">
        <v>0.16796646100000001</v>
      </c>
      <c r="X90" s="71">
        <v>0.16897400700000001</v>
      </c>
      <c r="Y90" s="71">
        <v>0.170202662</v>
      </c>
      <c r="Z90" s="71">
        <v>-2.0586991999999998E-2</v>
      </c>
      <c r="AA90" s="71">
        <v>-2.1150144999999999E-2</v>
      </c>
      <c r="AB90" s="71">
        <v>-2.3800202999999999E-2</v>
      </c>
      <c r="AC90" s="71">
        <v>-2.2166596E-2</v>
      </c>
      <c r="AD90" s="71">
        <v>-1.2401404E-2</v>
      </c>
      <c r="AE90" s="71">
        <v>-3.201307E-3</v>
      </c>
      <c r="AF90" s="71">
        <v>9.39134E-4</v>
      </c>
      <c r="AG90" s="71">
        <v>0.102042245</v>
      </c>
      <c r="AH90" s="71">
        <v>0.109485227</v>
      </c>
      <c r="AI90" s="71">
        <v>0.129184677</v>
      </c>
      <c r="AJ90" s="71">
        <v>0.15151403799999999</v>
      </c>
      <c r="AK90" s="71">
        <v>0.15685506900000001</v>
      </c>
      <c r="AL90" s="71">
        <v>0.15759074100000001</v>
      </c>
      <c r="AM90" s="71">
        <v>0.160865699</v>
      </c>
      <c r="AN90" s="71">
        <v>0.26805646</v>
      </c>
      <c r="AO90" s="71">
        <v>-0.13513378400000001</v>
      </c>
      <c r="AP90" s="71">
        <v>0.62798657300000005</v>
      </c>
    </row>
    <row r="91" spans="1:42" x14ac:dyDescent="0.2">
      <c r="A91" t="s">
        <v>240</v>
      </c>
      <c r="B91" t="s">
        <v>129</v>
      </c>
      <c r="C91" t="s">
        <v>133</v>
      </c>
      <c r="D91" t="s">
        <v>132</v>
      </c>
      <c r="E91" s="71">
        <v>2.9898642999999999E-2</v>
      </c>
      <c r="F91" s="71">
        <v>3.1594753000000003E-2</v>
      </c>
      <c r="G91" s="71">
        <v>3.5688519000000002E-2</v>
      </c>
      <c r="H91" s="71">
        <v>4.1515112E-2</v>
      </c>
      <c r="I91" s="71">
        <v>4.5491694999999999E-2</v>
      </c>
      <c r="J91" s="71">
        <v>4.8187136999999998E-2</v>
      </c>
      <c r="K91" s="71">
        <v>5.0078510999999999E-2</v>
      </c>
      <c r="L91" s="71">
        <v>-2.9718029E-2</v>
      </c>
      <c r="M91" s="71">
        <v>-2.0417285E-2</v>
      </c>
      <c r="N91" s="71">
        <v>-1.1748072E-2</v>
      </c>
      <c r="O91" s="71">
        <v>-1.743238E-3</v>
      </c>
      <c r="P91" s="71">
        <v>3.9890050000000003E-3</v>
      </c>
      <c r="Q91" s="71">
        <v>8.7503070000000006E-3</v>
      </c>
      <c r="R91" s="71">
        <v>1.1850576E-2</v>
      </c>
      <c r="S91" s="71">
        <v>9.3766503000000001E-2</v>
      </c>
      <c r="T91" s="71">
        <v>8.7353901999999997E-2</v>
      </c>
      <c r="U91" s="71">
        <v>8.5834362999999997E-2</v>
      </c>
      <c r="V91" s="71">
        <v>8.6087945999999999E-2</v>
      </c>
      <c r="W91" s="71">
        <v>8.8247793000000005E-2</v>
      </c>
      <c r="X91" s="71">
        <v>8.9540511000000003E-2</v>
      </c>
      <c r="Y91" s="71">
        <v>8.9912200999999997E-2</v>
      </c>
      <c r="Z91" s="71">
        <v>5.7394919999999997E-3</v>
      </c>
      <c r="AA91" s="71">
        <v>6.2504350000000004E-3</v>
      </c>
      <c r="AB91" s="71">
        <v>7.3303980000000001E-3</v>
      </c>
      <c r="AC91" s="71">
        <v>9.9609130000000001E-3</v>
      </c>
      <c r="AD91" s="71">
        <v>1.2582965E-2</v>
      </c>
      <c r="AE91" s="71">
        <v>1.5703176999999999E-2</v>
      </c>
      <c r="AF91" s="71">
        <v>1.9559538000000001E-2</v>
      </c>
      <c r="AG91" s="71">
        <v>5.4638075000000001E-2</v>
      </c>
      <c r="AH91" s="71">
        <v>5.7577510999999998E-2</v>
      </c>
      <c r="AI91" s="71">
        <v>6.4845148000000005E-2</v>
      </c>
      <c r="AJ91" s="71">
        <v>7.4055102999999997E-2</v>
      </c>
      <c r="AK91" s="71">
        <v>7.9469867E-2</v>
      </c>
      <c r="AL91" s="71">
        <v>8.1710002000000004E-2</v>
      </c>
      <c r="AM91" s="71">
        <v>8.1510842E-2</v>
      </c>
      <c r="AN91" s="71">
        <v>0.18351745699999999</v>
      </c>
      <c r="AO91" s="71">
        <v>-0.20214843800000001</v>
      </c>
      <c r="AP91" s="71">
        <v>0.93936285799999997</v>
      </c>
    </row>
    <row r="92" spans="1:42" x14ac:dyDescent="0.2">
      <c r="A92" t="s">
        <v>224</v>
      </c>
      <c r="B92" t="s">
        <v>129</v>
      </c>
      <c r="C92" t="s">
        <v>133</v>
      </c>
      <c r="D92" t="s">
        <v>132</v>
      </c>
      <c r="E92" s="71">
        <v>4.3187617999999997E-2</v>
      </c>
      <c r="F92" s="71">
        <v>4.4433475E-2</v>
      </c>
      <c r="G92" s="71">
        <v>4.7322630999999997E-2</v>
      </c>
      <c r="H92" s="71">
        <v>5.1146269000000001E-2</v>
      </c>
      <c r="I92" s="71">
        <v>5.3510665999999998E-2</v>
      </c>
      <c r="J92" s="71">
        <v>5.4967641999999997E-2</v>
      </c>
      <c r="K92" s="71">
        <v>5.5908561000000002E-2</v>
      </c>
      <c r="L92" s="71">
        <v>-1.8000921999999999E-2</v>
      </c>
      <c r="M92" s="71">
        <v>-8.5511360000000008E-3</v>
      </c>
      <c r="N92" s="71">
        <v>-1.4022870000000001E-3</v>
      </c>
      <c r="O92" s="71">
        <v>7.360246E-3</v>
      </c>
      <c r="P92" s="71">
        <v>1.2716841E-2</v>
      </c>
      <c r="Q92" s="71">
        <v>1.7012064E-2</v>
      </c>
      <c r="R92" s="71">
        <v>2.0392271E-2</v>
      </c>
      <c r="S92" s="71">
        <v>0.10744640699999999</v>
      </c>
      <c r="T92" s="71">
        <v>0.101647695</v>
      </c>
      <c r="U92" s="71">
        <v>9.8046678999999998E-2</v>
      </c>
      <c r="V92" s="71">
        <v>9.7177654000000002E-2</v>
      </c>
      <c r="W92" s="71">
        <v>9.6129804999999999E-2</v>
      </c>
      <c r="X92" s="71">
        <v>9.4971575000000003E-2</v>
      </c>
      <c r="Y92" s="71">
        <v>9.2918705000000004E-2</v>
      </c>
      <c r="Z92" s="71">
        <v>1.8763535000000001E-2</v>
      </c>
      <c r="AA92" s="71">
        <v>2.0462194999999999E-2</v>
      </c>
      <c r="AB92" s="71">
        <v>1.9836663000000001E-2</v>
      </c>
      <c r="AC92" s="71">
        <v>2.256447E-2</v>
      </c>
      <c r="AD92" s="71">
        <v>2.4673771000000001E-2</v>
      </c>
      <c r="AE92" s="71">
        <v>2.6854026E-2</v>
      </c>
      <c r="AF92" s="71">
        <v>2.8330734E-2</v>
      </c>
      <c r="AG92" s="71">
        <v>6.8197248000000002E-2</v>
      </c>
      <c r="AH92" s="71">
        <v>6.8967818E-2</v>
      </c>
      <c r="AI92" s="71">
        <v>7.5549445000000007E-2</v>
      </c>
      <c r="AJ92" s="71">
        <v>8.0526785000000004E-2</v>
      </c>
      <c r="AK92" s="71">
        <v>8.3158836999999999E-2</v>
      </c>
      <c r="AL92" s="71">
        <v>8.3850851000000004E-2</v>
      </c>
      <c r="AM92" s="71">
        <v>8.4225899000000007E-2</v>
      </c>
      <c r="AN92" s="71">
        <v>0.18351745699999999</v>
      </c>
      <c r="AO92" s="71">
        <v>-0.156876399</v>
      </c>
      <c r="AP92" s="71">
        <v>0.94109796300000004</v>
      </c>
    </row>
    <row r="93" spans="1:42" x14ac:dyDescent="0.2">
      <c r="A93" t="s">
        <v>200</v>
      </c>
      <c r="B93" t="s">
        <v>129</v>
      </c>
      <c r="C93" t="s">
        <v>133</v>
      </c>
      <c r="D93" t="s">
        <v>132</v>
      </c>
      <c r="E93" s="71">
        <v>2.2255898E-2</v>
      </c>
      <c r="F93" s="71">
        <v>2.4320364000000001E-2</v>
      </c>
      <c r="G93" s="71">
        <v>2.9122591E-2</v>
      </c>
      <c r="H93" s="71">
        <v>3.5708785E-2</v>
      </c>
      <c r="I93" s="71">
        <v>4.0099740000000002E-2</v>
      </c>
      <c r="J93" s="71">
        <v>4.3047427999999999E-2</v>
      </c>
      <c r="K93" s="71">
        <v>4.5107603000000003E-2</v>
      </c>
      <c r="L93" s="71">
        <v>-3.8668851999999997E-2</v>
      </c>
      <c r="M93" s="71">
        <v>-2.7697559E-2</v>
      </c>
      <c r="N93" s="71">
        <v>-1.8480955E-2</v>
      </c>
      <c r="O93" s="71">
        <v>-7.0517100000000001E-3</v>
      </c>
      <c r="P93" s="71">
        <v>3.6166600000000002E-4</v>
      </c>
      <c r="Q93" s="71">
        <v>5.5390980000000001E-3</v>
      </c>
      <c r="R93" s="71">
        <v>9.9719030000000007E-3</v>
      </c>
      <c r="S93" s="71">
        <v>8.6972113000000004E-2</v>
      </c>
      <c r="T93" s="71">
        <v>7.9709211000000002E-2</v>
      </c>
      <c r="U93" s="71">
        <v>7.8760628999999999E-2</v>
      </c>
      <c r="V93" s="71">
        <v>7.9696617999999997E-2</v>
      </c>
      <c r="W93" s="71">
        <v>8.1136990000000006E-2</v>
      </c>
      <c r="X93" s="71">
        <v>8.1960263000000005E-2</v>
      </c>
      <c r="Y93" s="71">
        <v>8.1334399000000002E-2</v>
      </c>
      <c r="Z93" s="71">
        <v>-1.422541E-3</v>
      </c>
      <c r="AA93" s="71">
        <v>3.4635299999999998E-4</v>
      </c>
      <c r="AB93" s="71">
        <v>2.5108439999999999E-3</v>
      </c>
      <c r="AC93" s="71">
        <v>6.9195309999999996E-3</v>
      </c>
      <c r="AD93" s="71">
        <v>1.0295775E-2</v>
      </c>
      <c r="AE93" s="71">
        <v>1.4663269E-2</v>
      </c>
      <c r="AF93" s="71">
        <v>1.8957624999999999E-2</v>
      </c>
      <c r="AG93" s="71">
        <v>4.6496494999999999E-2</v>
      </c>
      <c r="AH93" s="71">
        <v>4.8869587999999999E-2</v>
      </c>
      <c r="AI93" s="71">
        <v>5.6441408999999998E-2</v>
      </c>
      <c r="AJ93" s="71">
        <v>6.5321555000000003E-2</v>
      </c>
      <c r="AK93" s="71">
        <v>7.0783252000000005E-2</v>
      </c>
      <c r="AL93" s="71">
        <v>7.2225897999999997E-2</v>
      </c>
      <c r="AM93" s="71">
        <v>7.1928881E-2</v>
      </c>
      <c r="AN93" s="71">
        <v>0.18351745699999999</v>
      </c>
      <c r="AO93" s="71">
        <v>-0.13231483599999999</v>
      </c>
      <c r="AP93" s="71">
        <v>0.93845799500000004</v>
      </c>
    </row>
    <row r="94" spans="1:42" x14ac:dyDescent="0.2">
      <c r="A94" t="s">
        <v>259</v>
      </c>
      <c r="B94" t="s">
        <v>129</v>
      </c>
      <c r="C94" t="s">
        <v>133</v>
      </c>
      <c r="D94" t="s">
        <v>132</v>
      </c>
      <c r="E94" s="71">
        <v>1.2717127999999999E-2</v>
      </c>
      <c r="F94" s="71">
        <v>1.544714E-2</v>
      </c>
      <c r="G94" s="71">
        <v>2.1823525E-2</v>
      </c>
      <c r="H94" s="71">
        <v>3.0530571999999999E-2</v>
      </c>
      <c r="I94" s="71">
        <v>3.6270856999999997E-2</v>
      </c>
      <c r="J94" s="71">
        <v>4.0089488E-2</v>
      </c>
      <c r="K94" s="71">
        <v>4.2744279000000003E-2</v>
      </c>
      <c r="L94" s="71">
        <v>-4.6235714999999997E-2</v>
      </c>
      <c r="M94" s="71">
        <v>-3.6551485000000002E-2</v>
      </c>
      <c r="N94" s="71">
        <v>-2.5674716E-2</v>
      </c>
      <c r="O94" s="71">
        <v>-1.2255258E-2</v>
      </c>
      <c r="P94" s="71">
        <v>-2.5469020000000002E-3</v>
      </c>
      <c r="Q94" s="71">
        <v>2.9276319999999999E-3</v>
      </c>
      <c r="R94" s="71">
        <v>7.5129669999999997E-3</v>
      </c>
      <c r="S94" s="71">
        <v>7.6612838000000003E-2</v>
      </c>
      <c r="T94" s="71">
        <v>7.0589969000000002E-2</v>
      </c>
      <c r="U94" s="71">
        <v>7.1711834000000002E-2</v>
      </c>
      <c r="V94" s="71">
        <v>7.4534087999999998E-2</v>
      </c>
      <c r="W94" s="71">
        <v>7.6403803000000006E-2</v>
      </c>
      <c r="X94" s="71">
        <v>7.8345863000000002E-2</v>
      </c>
      <c r="Y94" s="71">
        <v>7.9609057999999996E-2</v>
      </c>
      <c r="Z94" s="71">
        <v>-1.0597349000000001E-2</v>
      </c>
      <c r="AA94" s="71">
        <v>-8.0772269999999993E-3</v>
      </c>
      <c r="AB94" s="71">
        <v>-4.3300450000000002E-3</v>
      </c>
      <c r="AC94" s="71">
        <v>3.1316479999999999E-3</v>
      </c>
      <c r="AD94" s="71">
        <v>8.9589409999999998E-3</v>
      </c>
      <c r="AE94" s="71">
        <v>1.3612546999999999E-2</v>
      </c>
      <c r="AF94" s="71">
        <v>1.6802278E-2</v>
      </c>
      <c r="AG94" s="71">
        <v>3.6581876999999999E-2</v>
      </c>
      <c r="AH94" s="71">
        <v>3.9530067000000002E-2</v>
      </c>
      <c r="AI94" s="71">
        <v>4.8664654000000002E-2</v>
      </c>
      <c r="AJ94" s="71">
        <v>5.8678503E-2</v>
      </c>
      <c r="AK94" s="71">
        <v>6.4322549000000007E-2</v>
      </c>
      <c r="AL94" s="71">
        <v>6.7258299999999993E-2</v>
      </c>
      <c r="AM94" s="71">
        <v>6.9348424000000006E-2</v>
      </c>
      <c r="AN94" s="71">
        <v>0.18351745699999999</v>
      </c>
      <c r="AO94" s="71">
        <v>-0.13480546199999999</v>
      </c>
      <c r="AP94" s="71">
        <v>0.94272759699999997</v>
      </c>
    </row>
    <row r="95" spans="1:42" x14ac:dyDescent="0.2">
      <c r="A95" t="s">
        <v>259</v>
      </c>
      <c r="B95" t="s">
        <v>129</v>
      </c>
      <c r="C95" t="s">
        <v>269</v>
      </c>
      <c r="D95" t="s">
        <v>268</v>
      </c>
      <c r="E95" s="71">
        <v>1.3280392E-2</v>
      </c>
      <c r="F95" s="71">
        <v>1.6280293000000001E-2</v>
      </c>
      <c r="G95" s="71">
        <v>2.3312688000000002E-2</v>
      </c>
      <c r="H95" s="71">
        <v>3.2962799000000001E-2</v>
      </c>
      <c r="I95" s="71">
        <v>3.9352655E-2</v>
      </c>
      <c r="J95" s="71">
        <v>4.3614148999999998E-2</v>
      </c>
      <c r="K95" s="71">
        <v>4.6580911000000003E-2</v>
      </c>
      <c r="L95" s="71">
        <v>-3.9871128999999998E-2</v>
      </c>
      <c r="M95" s="71">
        <v>-3.1138335999999999E-2</v>
      </c>
      <c r="N95" s="71">
        <v>-1.8387818E-2</v>
      </c>
      <c r="O95" s="71">
        <v>-4.0920940000000001E-3</v>
      </c>
      <c r="P95" s="71">
        <v>5.8982699999999997E-3</v>
      </c>
      <c r="Q95" s="71">
        <v>1.2912239000000001E-2</v>
      </c>
      <c r="R95" s="71">
        <v>1.7267675999999999E-2</v>
      </c>
      <c r="S95" s="71">
        <v>7.0044299000000004E-2</v>
      </c>
      <c r="T95" s="71">
        <v>6.4866715000000005E-2</v>
      </c>
      <c r="U95" s="71">
        <v>6.5941341000000001E-2</v>
      </c>
      <c r="V95" s="71">
        <v>7.0724091000000003E-2</v>
      </c>
      <c r="W95" s="71">
        <v>7.3514936000000003E-2</v>
      </c>
      <c r="X95" s="71">
        <v>7.5682831000000006E-2</v>
      </c>
      <c r="Y95" s="71">
        <v>7.7122806000000002E-2</v>
      </c>
      <c r="Z95" s="71">
        <v>-2.93415E-3</v>
      </c>
      <c r="AA95" s="72" t="s">
        <v>439</v>
      </c>
      <c r="AB95" s="71">
        <v>4.1807889999999999E-3</v>
      </c>
      <c r="AC95" s="71">
        <v>1.3264438999999999E-2</v>
      </c>
      <c r="AD95" s="71">
        <v>1.8366033E-2</v>
      </c>
      <c r="AE95" s="71">
        <v>2.3189686000000001E-2</v>
      </c>
      <c r="AF95" s="71">
        <v>2.7418498999999999E-2</v>
      </c>
      <c r="AG95" s="71">
        <v>2.9737766999999998E-2</v>
      </c>
      <c r="AH95" s="71">
        <v>3.2752277000000003E-2</v>
      </c>
      <c r="AI95" s="71">
        <v>4.2792245999999999E-2</v>
      </c>
      <c r="AJ95" s="71">
        <v>5.3031349999999998E-2</v>
      </c>
      <c r="AK95" s="71">
        <v>6.0761568000000002E-2</v>
      </c>
      <c r="AL95" s="71">
        <v>6.4437916999999997E-2</v>
      </c>
      <c r="AM95" s="71">
        <v>6.6093793999999997E-2</v>
      </c>
      <c r="AN95" s="71">
        <v>0.17086744800000001</v>
      </c>
      <c r="AO95" s="71">
        <v>-0.105160842</v>
      </c>
      <c r="AP95" s="71">
        <v>1</v>
      </c>
    </row>
    <row r="96" spans="1:42" x14ac:dyDescent="0.2">
      <c r="A96" t="s">
        <v>103</v>
      </c>
      <c r="B96" t="s">
        <v>129</v>
      </c>
      <c r="C96" t="s">
        <v>128</v>
      </c>
      <c r="D96" t="s">
        <v>127</v>
      </c>
      <c r="E96" s="71">
        <v>3.8218975000000002E-2</v>
      </c>
      <c r="F96" s="71">
        <v>4.1547775000000002E-2</v>
      </c>
      <c r="G96" s="71">
        <v>4.9771428E-2</v>
      </c>
      <c r="H96" s="71">
        <v>6.1833024E-2</v>
      </c>
      <c r="I96" s="71">
        <v>7.0276379999999999E-2</v>
      </c>
      <c r="J96" s="71">
        <v>7.6082944999999999E-2</v>
      </c>
      <c r="K96" s="71">
        <v>8.0189466000000001E-2</v>
      </c>
      <c r="L96" s="71">
        <v>-4.0784951999999999E-2</v>
      </c>
      <c r="M96" s="71">
        <v>-3.6066131000000001E-2</v>
      </c>
      <c r="N96" s="71">
        <v>-3.2171241000000003E-2</v>
      </c>
      <c r="O96" s="71">
        <v>-2.7335934999999999E-2</v>
      </c>
      <c r="P96" s="71">
        <v>-1.8335475E-2</v>
      </c>
      <c r="Q96" s="71">
        <v>-8.3776330000000006E-3</v>
      </c>
      <c r="R96" s="71">
        <v>-7.3111599999999997E-4</v>
      </c>
      <c r="S96" s="71">
        <v>0.12438228799999999</v>
      </c>
      <c r="T96" s="71">
        <v>0.124815144</v>
      </c>
      <c r="U96" s="71">
        <v>0.139080115</v>
      </c>
      <c r="V96" s="71">
        <v>0.157098932</v>
      </c>
      <c r="W96" s="71">
        <v>0.16699936600000001</v>
      </c>
      <c r="X96" s="71">
        <v>0.16860345800000001</v>
      </c>
      <c r="Y96" s="71">
        <v>0.168358274</v>
      </c>
      <c r="Z96" s="71">
        <v>-2.0220227E-2</v>
      </c>
      <c r="AA96" s="71">
        <v>-2.1194890000000001E-2</v>
      </c>
      <c r="AB96" s="71">
        <v>-2.1878310000000002E-2</v>
      </c>
      <c r="AC96" s="71">
        <v>-1.7683916000000001E-2</v>
      </c>
      <c r="AD96" s="71">
        <v>-9.4194450000000002E-3</v>
      </c>
      <c r="AE96" s="71">
        <v>1.991142E-3</v>
      </c>
      <c r="AF96" s="71">
        <v>8.0715749999999992E-3</v>
      </c>
      <c r="AG96" s="71">
        <v>0.10014379499999999</v>
      </c>
      <c r="AH96" s="71">
        <v>0.108312251</v>
      </c>
      <c r="AI96" s="71">
        <v>0.12666970299999999</v>
      </c>
      <c r="AJ96" s="71">
        <v>0.14778688100000001</v>
      </c>
      <c r="AK96" s="71">
        <v>0.15638422699999999</v>
      </c>
      <c r="AL96" s="71">
        <v>0.15565351599999999</v>
      </c>
      <c r="AM96" s="71">
        <v>0.157466736</v>
      </c>
      <c r="AN96" s="71">
        <v>0.178418616</v>
      </c>
      <c r="AO96" s="71">
        <v>6.4464527999999993E-2</v>
      </c>
      <c r="AP96" s="71">
        <v>0.25835348400000002</v>
      </c>
    </row>
    <row r="97" spans="1:42" x14ac:dyDescent="0.2">
      <c r="A97" t="s">
        <v>178</v>
      </c>
      <c r="B97" t="s">
        <v>129</v>
      </c>
      <c r="C97" t="s">
        <v>188</v>
      </c>
      <c r="D97" t="s">
        <v>187</v>
      </c>
      <c r="E97" s="71">
        <v>3.9729952999999998E-2</v>
      </c>
      <c r="F97" s="71">
        <v>4.2819977000000002E-2</v>
      </c>
      <c r="G97" s="71">
        <v>4.9975394999999999E-2</v>
      </c>
      <c r="H97" s="71">
        <v>5.9778929000000001E-2</v>
      </c>
      <c r="I97" s="71">
        <v>6.6327333000000002E-2</v>
      </c>
      <c r="J97" s="71">
        <v>7.0731877999999998E-2</v>
      </c>
      <c r="K97" s="71">
        <v>7.3814392000000006E-2</v>
      </c>
      <c r="L97" s="71">
        <v>-1.1022541E-2</v>
      </c>
      <c r="M97" s="71">
        <v>-1.6970710000000001E-3</v>
      </c>
      <c r="N97" s="71">
        <v>1.1002405E-2</v>
      </c>
      <c r="O97" s="71">
        <v>2.560745E-2</v>
      </c>
      <c r="P97" s="71">
        <v>3.4957863999999998E-2</v>
      </c>
      <c r="Q97" s="71">
        <v>4.2124506999999999E-2</v>
      </c>
      <c r="R97" s="71">
        <v>4.7771220000000003E-2</v>
      </c>
      <c r="S97" s="71">
        <v>9.2606939999999999E-2</v>
      </c>
      <c r="T97" s="71">
        <v>8.9202669999999998E-2</v>
      </c>
      <c r="U97" s="71">
        <v>9.0340914999999994E-2</v>
      </c>
      <c r="V97" s="71">
        <v>9.4936780999999998E-2</v>
      </c>
      <c r="W97" s="71">
        <v>9.8673441000000001E-2</v>
      </c>
      <c r="X97" s="71">
        <v>9.9805564999999999E-2</v>
      </c>
      <c r="Y97" s="71">
        <v>0.100754936</v>
      </c>
      <c r="Z97" s="71">
        <v>1.8232193000000001E-2</v>
      </c>
      <c r="AA97" s="71">
        <v>2.2353580000000001E-2</v>
      </c>
      <c r="AB97" s="71">
        <v>2.9082381000000001E-2</v>
      </c>
      <c r="AC97" s="71">
        <v>3.9397845000000001E-2</v>
      </c>
      <c r="AD97" s="71">
        <v>4.6322619000000002E-2</v>
      </c>
      <c r="AE97" s="71">
        <v>5.0944745E-2</v>
      </c>
      <c r="AF97" s="71">
        <v>5.5823261999999998E-2</v>
      </c>
      <c r="AG97" s="71">
        <v>6.1679721E-2</v>
      </c>
      <c r="AH97" s="71">
        <v>6.3694058999999997E-2</v>
      </c>
      <c r="AI97" s="71">
        <v>7.1290693000000002E-2</v>
      </c>
      <c r="AJ97" s="71">
        <v>8.0558328999999998E-2</v>
      </c>
      <c r="AK97" s="71">
        <v>8.6713507999999995E-2</v>
      </c>
      <c r="AL97" s="71">
        <v>9.0890761E-2</v>
      </c>
      <c r="AM97" s="71">
        <v>9.2111359000000004E-2</v>
      </c>
      <c r="AN97" s="71">
        <v>0.14919849099999999</v>
      </c>
      <c r="AO97" s="71">
        <v>-0.19921835700000001</v>
      </c>
      <c r="AP97" s="71">
        <v>1</v>
      </c>
    </row>
    <row r="98" spans="1:42" x14ac:dyDescent="0.2">
      <c r="A98" t="s">
        <v>138</v>
      </c>
      <c r="B98" t="s">
        <v>129</v>
      </c>
      <c r="C98" t="s">
        <v>173</v>
      </c>
      <c r="D98" t="s">
        <v>160</v>
      </c>
      <c r="E98" s="71">
        <v>2.7137755999999999E-2</v>
      </c>
      <c r="F98" s="71">
        <v>3.1556129000000002E-2</v>
      </c>
      <c r="G98" s="75">
        <v>4.2213201999999998E-2</v>
      </c>
      <c r="H98" s="71">
        <v>5.7360649E-2</v>
      </c>
      <c r="I98" s="71">
        <v>6.7658662999999994E-2</v>
      </c>
      <c r="J98" s="71">
        <v>7.4603796E-2</v>
      </c>
      <c r="K98" s="71">
        <v>7.9453944999999998E-2</v>
      </c>
      <c r="L98" s="71">
        <v>-7.6327353000000001E-2</v>
      </c>
      <c r="M98" s="71">
        <v>-6.6058239000000005E-2</v>
      </c>
      <c r="N98" s="71">
        <v>-5.7518949999999999E-2</v>
      </c>
      <c r="O98" s="71">
        <v>-4.5006312999999999E-2</v>
      </c>
      <c r="P98" s="71">
        <v>-3.3932937000000003E-2</v>
      </c>
      <c r="Q98" s="71">
        <v>-2.2598080999999999E-2</v>
      </c>
      <c r="R98" s="71">
        <v>-1.5090147999999999E-2</v>
      </c>
      <c r="S98" s="71">
        <v>0.14381719700000001</v>
      </c>
      <c r="T98" s="71">
        <v>0.13979742100000001</v>
      </c>
      <c r="U98" s="71">
        <v>0.15407189299999999</v>
      </c>
      <c r="V98" s="71">
        <v>0.16889734000000001</v>
      </c>
      <c r="W98" s="71">
        <v>0.17961189399999999</v>
      </c>
      <c r="X98" s="71">
        <v>0.18188895899999999</v>
      </c>
      <c r="Y98" s="71">
        <v>0.18199580800000001</v>
      </c>
      <c r="Z98" s="71">
        <v>-3.5422217999999998E-2</v>
      </c>
      <c r="AA98" s="71">
        <v>-3.7258052999999999E-2</v>
      </c>
      <c r="AB98" s="71">
        <v>-3.5804514000000003E-2</v>
      </c>
      <c r="AC98" s="71">
        <v>-3.3642758000000002E-2</v>
      </c>
      <c r="AD98" s="71">
        <v>-2.5613730000000001E-2</v>
      </c>
      <c r="AE98" s="71">
        <v>-1.3992296E-2</v>
      </c>
      <c r="AF98" s="71">
        <v>-3.36469E-3</v>
      </c>
      <c r="AG98" s="71">
        <v>9.3674707999999995E-2</v>
      </c>
      <c r="AH98" s="71">
        <v>0.10521238300000001</v>
      </c>
      <c r="AI98" s="71">
        <v>0.12647708599999999</v>
      </c>
      <c r="AJ98" s="71">
        <v>0.15688223900000001</v>
      </c>
      <c r="AK98" s="71">
        <v>0.16981853</v>
      </c>
      <c r="AL98" s="71">
        <v>0.171127204</v>
      </c>
      <c r="AM98" s="71">
        <v>0.16912675699999999</v>
      </c>
      <c r="AN98" s="71">
        <v>0.29087705200000002</v>
      </c>
      <c r="AO98" s="71">
        <v>-9.6210339000000006E-2</v>
      </c>
      <c r="AP98" s="71">
        <v>0.57140740099999998</v>
      </c>
    </row>
    <row r="99" spans="1:42" x14ac:dyDescent="0.2">
      <c r="A99" t="s">
        <v>240</v>
      </c>
      <c r="B99" t="s">
        <v>129</v>
      </c>
      <c r="C99" t="s">
        <v>173</v>
      </c>
      <c r="D99" t="s">
        <v>160</v>
      </c>
      <c r="E99" s="71">
        <v>1.2961268E-2</v>
      </c>
      <c r="F99" s="71">
        <v>1.7423153E-2</v>
      </c>
      <c r="G99" s="71">
        <v>2.8243184000000001E-2</v>
      </c>
      <c r="H99" s="71">
        <v>4.3766379000000001E-2</v>
      </c>
      <c r="I99" s="71">
        <v>5.4444671E-2</v>
      </c>
      <c r="J99" s="71">
        <v>6.1721682999999999E-2</v>
      </c>
      <c r="K99" s="71">
        <v>6.6846489999999995E-2</v>
      </c>
      <c r="L99" s="71">
        <v>-9.0738023000000001E-2</v>
      </c>
      <c r="M99" s="71">
        <v>-7.7540947999999998E-2</v>
      </c>
      <c r="N99" s="71">
        <v>-6.9986012E-2</v>
      </c>
      <c r="O99" s="71">
        <v>-5.8451026000000003E-2</v>
      </c>
      <c r="P99" s="71">
        <v>-4.6817180999999999E-2</v>
      </c>
      <c r="Q99" s="71">
        <v>-3.6145156999999997E-2</v>
      </c>
      <c r="R99" s="71">
        <v>-2.7696556000000001E-2</v>
      </c>
      <c r="S99" s="71">
        <v>0.127075831</v>
      </c>
      <c r="T99" s="71">
        <v>0.123172741</v>
      </c>
      <c r="U99" s="71">
        <v>0.13656900999999999</v>
      </c>
      <c r="V99" s="71">
        <v>0.15565892200000001</v>
      </c>
      <c r="W99" s="71">
        <v>0.16545786700000001</v>
      </c>
      <c r="X99" s="71">
        <v>0.169649356</v>
      </c>
      <c r="Y99" s="71">
        <v>0.168370248</v>
      </c>
      <c r="Z99" s="71">
        <v>-4.9546603000000002E-2</v>
      </c>
      <c r="AA99" s="71">
        <v>-5.0560674E-2</v>
      </c>
      <c r="AB99" s="71">
        <v>-5.2976466E-2</v>
      </c>
      <c r="AC99" s="71">
        <v>-4.6012907999999998E-2</v>
      </c>
      <c r="AD99" s="71">
        <v>-3.4074224E-2</v>
      </c>
      <c r="AE99" s="71">
        <v>-2.6107590999999999E-2</v>
      </c>
      <c r="AF99" s="71">
        <v>-1.7836873999999999E-2</v>
      </c>
      <c r="AG99" s="71">
        <v>7.9500662E-2</v>
      </c>
      <c r="AH99" s="71">
        <v>9.0199631000000002E-2</v>
      </c>
      <c r="AI99" s="71">
        <v>0.116362468</v>
      </c>
      <c r="AJ99" s="71">
        <v>0.14194353600000001</v>
      </c>
      <c r="AK99" s="71">
        <v>0.15103526</v>
      </c>
      <c r="AL99" s="71">
        <v>0.15743889699999999</v>
      </c>
      <c r="AM99" s="71">
        <v>0.15880364599999999</v>
      </c>
      <c r="AN99" s="71">
        <v>0.27645503799999999</v>
      </c>
      <c r="AO99" s="71">
        <v>-0.20087360200000001</v>
      </c>
      <c r="AP99" s="71">
        <v>0.49996117699999998</v>
      </c>
    </row>
    <row r="100" spans="1:42" x14ac:dyDescent="0.2">
      <c r="A100" t="s">
        <v>224</v>
      </c>
      <c r="B100" t="s">
        <v>129</v>
      </c>
      <c r="C100" t="s">
        <v>173</v>
      </c>
      <c r="D100" t="s">
        <v>160</v>
      </c>
      <c r="E100" s="71">
        <v>1.7080664999999998E-2</v>
      </c>
      <c r="F100" s="71">
        <v>2.1641850000000001E-2</v>
      </c>
      <c r="G100" s="71">
        <v>3.2589911999999999E-2</v>
      </c>
      <c r="H100" s="71">
        <v>4.8016905999999998E-2</v>
      </c>
      <c r="I100" s="71">
        <v>5.8385610999999997E-2</v>
      </c>
      <c r="J100" s="71">
        <v>6.5304756000000005E-2</v>
      </c>
      <c r="K100" s="71">
        <v>7.0094585000000001E-2</v>
      </c>
      <c r="L100" s="71">
        <v>-8.3661421999999999E-2</v>
      </c>
      <c r="M100" s="71">
        <v>-7.3334685999999996E-2</v>
      </c>
      <c r="N100" s="71">
        <v>-6.2985376999999995E-2</v>
      </c>
      <c r="O100" s="71">
        <v>-4.9680935000000002E-2</v>
      </c>
      <c r="P100" s="71">
        <v>-3.8415211999999997E-2</v>
      </c>
      <c r="Q100" s="71">
        <v>-2.9814265999999999E-2</v>
      </c>
      <c r="R100" s="71">
        <v>-2.3078260999999999E-2</v>
      </c>
      <c r="S100" s="71">
        <v>0.127049514</v>
      </c>
      <c r="T100" s="71">
        <v>0.12549872300000001</v>
      </c>
      <c r="U100" s="71">
        <v>0.13902984900000001</v>
      </c>
      <c r="V100" s="71">
        <v>0.15660639500000001</v>
      </c>
      <c r="W100" s="71">
        <v>0.165511405</v>
      </c>
      <c r="X100" s="71">
        <v>0.16872737900000001</v>
      </c>
      <c r="Y100" s="71">
        <v>0.17121050500000001</v>
      </c>
      <c r="Z100" s="71">
        <v>-4.4631480000000001E-2</v>
      </c>
      <c r="AA100" s="71">
        <v>-4.1068234000000002E-2</v>
      </c>
      <c r="AB100" s="71">
        <v>-4.5447358E-2</v>
      </c>
      <c r="AC100" s="71">
        <v>-4.1107395999999997E-2</v>
      </c>
      <c r="AD100" s="71">
        <v>-3.3954976999999997E-2</v>
      </c>
      <c r="AE100" s="71">
        <v>-2.3550247999999999E-2</v>
      </c>
      <c r="AF100" s="71">
        <v>-1.7291337E-2</v>
      </c>
      <c r="AG100" s="71">
        <v>8.2699558000000006E-2</v>
      </c>
      <c r="AH100" s="71">
        <v>8.8377531999999995E-2</v>
      </c>
      <c r="AI100" s="71">
        <v>0.116941037</v>
      </c>
      <c r="AJ100" s="71">
        <v>0.14537354799999999</v>
      </c>
      <c r="AK100" s="71">
        <v>0.15951216800000001</v>
      </c>
      <c r="AL100" s="71">
        <v>0.16221259800000001</v>
      </c>
      <c r="AM100" s="71">
        <v>0.165223646</v>
      </c>
      <c r="AN100" s="71">
        <v>0.274960072</v>
      </c>
      <c r="AO100" s="71">
        <v>-0.12983283400000001</v>
      </c>
      <c r="AP100" s="71">
        <v>0.49364956599999998</v>
      </c>
    </row>
    <row r="101" spans="1:42" x14ac:dyDescent="0.2">
      <c r="A101" t="s">
        <v>200</v>
      </c>
      <c r="B101" t="s">
        <v>129</v>
      </c>
      <c r="C101" t="s">
        <v>173</v>
      </c>
      <c r="D101" t="s">
        <v>160</v>
      </c>
      <c r="E101" s="71">
        <v>-6.6388250000000001E-3</v>
      </c>
      <c r="F101" s="71">
        <v>-1.5926359999999999E-3</v>
      </c>
      <c r="G101" s="71">
        <v>1.0477662E-2</v>
      </c>
      <c r="H101" s="71">
        <v>2.7572274000000001E-2</v>
      </c>
      <c r="I101" s="71">
        <v>3.9242386999999997E-2</v>
      </c>
      <c r="J101" s="71">
        <v>4.7173023000000001E-2</v>
      </c>
      <c r="K101" s="71">
        <v>5.2752733000000003E-2</v>
      </c>
      <c r="L101" s="71">
        <v>-0.113547773</v>
      </c>
      <c r="M101" s="71">
        <v>-0.100220876</v>
      </c>
      <c r="N101" s="71">
        <v>-8.8177810999999995E-2</v>
      </c>
      <c r="O101" s="71">
        <v>-7.2049287000000004E-2</v>
      </c>
      <c r="P101" s="71">
        <v>-6.0906298999999997E-2</v>
      </c>
      <c r="Q101" s="71">
        <v>-4.9874596E-2</v>
      </c>
      <c r="R101" s="71">
        <v>-4.0129867999999999E-2</v>
      </c>
      <c r="S101" s="71">
        <v>0.115672756</v>
      </c>
      <c r="T101" s="71">
        <v>0.10673046</v>
      </c>
      <c r="U101" s="71">
        <v>0.119456612</v>
      </c>
      <c r="V101" s="71">
        <v>0.139596888</v>
      </c>
      <c r="W101" s="71">
        <v>0.150815423</v>
      </c>
      <c r="X101" s="71">
        <v>0.154399495</v>
      </c>
      <c r="Y101" s="71">
        <v>0.154719891</v>
      </c>
      <c r="Z101" s="71">
        <v>-6.7940765E-2</v>
      </c>
      <c r="AA101" s="71">
        <v>-6.8995913000000006E-2</v>
      </c>
      <c r="AB101" s="71">
        <v>-7.2090020000000005E-2</v>
      </c>
      <c r="AC101" s="71">
        <v>-6.3549727E-2</v>
      </c>
      <c r="AD101" s="71">
        <v>-5.1955906000000003E-2</v>
      </c>
      <c r="AE101" s="71">
        <v>-4.4253365000000003E-2</v>
      </c>
      <c r="AF101" s="71">
        <v>-3.2898871000000003E-2</v>
      </c>
      <c r="AG101" s="71">
        <v>5.8617142999999997E-2</v>
      </c>
      <c r="AH101" s="71">
        <v>7.0616426999999996E-2</v>
      </c>
      <c r="AI101" s="71">
        <v>0.100327444</v>
      </c>
      <c r="AJ101" s="71">
        <v>0.12751062399999999</v>
      </c>
      <c r="AK101" s="71">
        <v>0.13917395799999999</v>
      </c>
      <c r="AL101" s="71">
        <v>0.147312632</v>
      </c>
      <c r="AM101" s="71">
        <v>0.14596292899999999</v>
      </c>
      <c r="AN101" s="71">
        <v>0.31082313900000003</v>
      </c>
      <c r="AO101" s="71">
        <v>-0.24505913600000001</v>
      </c>
      <c r="AP101" s="71">
        <v>0.55450569400000005</v>
      </c>
    </row>
    <row r="102" spans="1:42" x14ac:dyDescent="0.2">
      <c r="A102" t="s">
        <v>259</v>
      </c>
      <c r="B102" t="s">
        <v>129</v>
      </c>
      <c r="C102" t="s">
        <v>173</v>
      </c>
      <c r="D102" t="s">
        <v>160</v>
      </c>
      <c r="E102" s="71">
        <v>1.6305685E-2</v>
      </c>
      <c r="F102" s="71">
        <v>2.0549536E-2</v>
      </c>
      <c r="G102" s="71">
        <v>3.0610084999999999E-2</v>
      </c>
      <c r="H102" s="71">
        <v>4.4631481000000001E-2</v>
      </c>
      <c r="I102" s="71">
        <v>5.4044604000000003E-2</v>
      </c>
      <c r="J102" s="71">
        <v>6.0373068000000002E-2</v>
      </c>
      <c r="K102" s="71">
        <v>6.4798950999999994E-2</v>
      </c>
      <c r="L102" s="71">
        <v>-8.8041832E-2</v>
      </c>
      <c r="M102" s="71">
        <v>-7.5753279000000007E-2</v>
      </c>
      <c r="N102" s="71">
        <v>-6.8961294000000006E-2</v>
      </c>
      <c r="O102" s="71">
        <v>-5.3908132999999997E-2</v>
      </c>
      <c r="P102" s="71">
        <v>-4.3133826E-2</v>
      </c>
      <c r="Q102" s="71">
        <v>-3.5766114000000002E-2</v>
      </c>
      <c r="R102" s="71">
        <v>-2.7524131E-2</v>
      </c>
      <c r="S102" s="71">
        <v>0.132623938</v>
      </c>
      <c r="T102" s="71">
        <v>0.12756916200000001</v>
      </c>
      <c r="U102" s="71">
        <v>0.13801606999999999</v>
      </c>
      <c r="V102" s="71">
        <v>0.15451413</v>
      </c>
      <c r="W102" s="71">
        <v>0.162628948</v>
      </c>
      <c r="X102" s="71">
        <v>0.16550514799999999</v>
      </c>
      <c r="Y102" s="71">
        <v>0.16485209200000001</v>
      </c>
      <c r="Z102" s="71">
        <v>-4.7054951999999997E-2</v>
      </c>
      <c r="AA102" s="71">
        <v>-4.5407276000000003E-2</v>
      </c>
      <c r="AB102" s="71">
        <v>-4.7347716999999998E-2</v>
      </c>
      <c r="AC102" s="71">
        <v>-4.0140569000000001E-2</v>
      </c>
      <c r="AD102" s="71">
        <v>-3.4021019E-2</v>
      </c>
      <c r="AE102" s="71">
        <v>-2.7890114000000001E-2</v>
      </c>
      <c r="AF102" s="71">
        <v>-1.8202412000000001E-2</v>
      </c>
      <c r="AG102" s="71">
        <v>8.3799799999999994E-2</v>
      </c>
      <c r="AH102" s="71">
        <v>9.0988073000000003E-2</v>
      </c>
      <c r="AI102" s="71">
        <v>0.11488136</v>
      </c>
      <c r="AJ102" s="71">
        <v>0.13683965000000001</v>
      </c>
      <c r="AK102" s="71">
        <v>0.150098497</v>
      </c>
      <c r="AL102" s="71">
        <v>0.15661735600000001</v>
      </c>
      <c r="AM102" s="71">
        <v>0.15478973600000001</v>
      </c>
      <c r="AN102" s="71">
        <v>0.28899955100000002</v>
      </c>
      <c r="AO102" s="71">
        <v>-0.20663915599999999</v>
      </c>
      <c r="AP102" s="71">
        <v>0.51990333399999999</v>
      </c>
    </row>
    <row r="103" spans="1:42" x14ac:dyDescent="0.2">
      <c r="A103" t="s">
        <v>288</v>
      </c>
      <c r="B103" t="s">
        <v>129</v>
      </c>
      <c r="C103" t="s">
        <v>173</v>
      </c>
      <c r="D103" t="s">
        <v>160</v>
      </c>
      <c r="E103" s="71">
        <v>2.4388433000000001E-2</v>
      </c>
      <c r="F103" s="71">
        <v>2.9098987999999999E-2</v>
      </c>
      <c r="G103" s="71">
        <v>4.0515065000000003E-2</v>
      </c>
      <c r="H103" s="71">
        <v>5.689168E-2</v>
      </c>
      <c r="I103" s="71">
        <v>6.8159699000000004E-2</v>
      </c>
      <c r="J103" s="71">
        <v>7.5840473000000005E-2</v>
      </c>
      <c r="K103" s="71">
        <v>8.1250905999999998E-2</v>
      </c>
      <c r="L103" s="71">
        <v>-7.2467899000000002E-2</v>
      </c>
      <c r="M103" s="71">
        <v>-6.2520834999999997E-2</v>
      </c>
      <c r="N103" s="71">
        <v>-5.4416138000000003E-2</v>
      </c>
      <c r="O103" s="71">
        <v>-4.1962995000000003E-2</v>
      </c>
      <c r="P103" s="71">
        <v>-2.9195128000000001E-2</v>
      </c>
      <c r="Q103" s="71">
        <v>-1.9999929999999999E-2</v>
      </c>
      <c r="R103" s="71">
        <v>-1.1276494999999999E-2</v>
      </c>
      <c r="S103" s="71">
        <v>0.13152752600000001</v>
      </c>
      <c r="T103" s="71">
        <v>0.12985384699999999</v>
      </c>
      <c r="U103" s="71">
        <v>0.14402382899999999</v>
      </c>
      <c r="V103" s="71">
        <v>0.16614932199999999</v>
      </c>
      <c r="W103" s="71">
        <v>0.17559144600000001</v>
      </c>
      <c r="X103" s="71">
        <v>0.18225392100000001</v>
      </c>
      <c r="Y103" s="71">
        <v>0.18381024900000001</v>
      </c>
      <c r="Z103" s="71">
        <v>-3.9583203999999997E-2</v>
      </c>
      <c r="AA103" s="71">
        <v>-3.8462123000000001E-2</v>
      </c>
      <c r="AB103" s="71">
        <v>-3.8528962E-2</v>
      </c>
      <c r="AC103" s="71">
        <v>-3.2903781999999999E-2</v>
      </c>
      <c r="AD103" s="71">
        <v>-1.9832563000000001E-2</v>
      </c>
      <c r="AE103" s="71">
        <v>-7.6291129999999999E-3</v>
      </c>
      <c r="AF103" s="71">
        <v>-1.8028930000000001E-3</v>
      </c>
      <c r="AG103" s="71">
        <v>9.2540913000000002E-2</v>
      </c>
      <c r="AH103" s="71">
        <v>0.101331027</v>
      </c>
      <c r="AI103" s="71">
        <v>0.125990925</v>
      </c>
      <c r="AJ103" s="71">
        <v>0.15497306799999999</v>
      </c>
      <c r="AK103" s="71">
        <v>0.16401052399999999</v>
      </c>
      <c r="AL103" s="71">
        <v>0.16629792700000001</v>
      </c>
      <c r="AM103" s="71">
        <v>0.17118718599999999</v>
      </c>
      <c r="AN103" s="71">
        <v>0.25142483599999998</v>
      </c>
      <c r="AO103" s="71">
        <v>-0.168365388</v>
      </c>
      <c r="AP103" s="71">
        <v>0.37824951899999998</v>
      </c>
    </row>
    <row r="104" spans="1:42" x14ac:dyDescent="0.2">
      <c r="A104" t="s">
        <v>272</v>
      </c>
      <c r="B104" t="s">
        <v>129</v>
      </c>
      <c r="C104" t="s">
        <v>173</v>
      </c>
      <c r="D104" t="s">
        <v>160</v>
      </c>
      <c r="E104" s="71">
        <v>8.4999800000000007E-3</v>
      </c>
      <c r="F104" s="71">
        <v>1.3851285E-2</v>
      </c>
      <c r="G104" s="71">
        <v>2.6729941E-2</v>
      </c>
      <c r="H104" s="71">
        <v>4.5054196999999997E-2</v>
      </c>
      <c r="I104" s="71">
        <v>5.7584285999999998E-2</v>
      </c>
      <c r="J104" s="71">
        <v>6.6100358999999997E-2</v>
      </c>
      <c r="K104" s="71">
        <v>7.2091698999999995E-2</v>
      </c>
      <c r="L104" s="71">
        <v>-8.8058848999999995E-2</v>
      </c>
      <c r="M104" s="71">
        <v>-7.7559768000000001E-2</v>
      </c>
      <c r="N104" s="71">
        <v>-6.8669168000000003E-2</v>
      </c>
      <c r="O104" s="71">
        <v>-5.4297047000000001E-2</v>
      </c>
      <c r="P104" s="71">
        <v>-4.1132032999999998E-2</v>
      </c>
      <c r="Q104" s="71">
        <v>-2.8677161E-2</v>
      </c>
      <c r="R104" s="71">
        <v>-1.9908873000000001E-2</v>
      </c>
      <c r="S104" s="71">
        <v>0.114335935</v>
      </c>
      <c r="T104" s="71">
        <v>0.116558772</v>
      </c>
      <c r="U104" s="71">
        <v>0.13095247900000001</v>
      </c>
      <c r="V104" s="71">
        <v>0.154966033</v>
      </c>
      <c r="W104" s="71">
        <v>0.166074364</v>
      </c>
      <c r="X104" s="71">
        <v>0.170739425</v>
      </c>
      <c r="Y104" s="71">
        <v>0.17340369999999999</v>
      </c>
      <c r="Z104" s="71">
        <v>-5.0774947000000001E-2</v>
      </c>
      <c r="AA104" s="71">
        <v>-5.0255567000000001E-2</v>
      </c>
      <c r="AB104" s="71">
        <v>-5.0605442E-2</v>
      </c>
      <c r="AC104" s="71">
        <v>-4.1796315000000001E-2</v>
      </c>
      <c r="AD104" s="71">
        <v>-3.1670608000000003E-2</v>
      </c>
      <c r="AE104" s="71">
        <v>-2.1624539000000002E-2</v>
      </c>
      <c r="AF104" s="71">
        <v>-1.3954647000000001E-2</v>
      </c>
      <c r="AG104" s="71">
        <v>7.1397795999999999E-2</v>
      </c>
      <c r="AH104" s="71">
        <v>8.2210233999999993E-2</v>
      </c>
      <c r="AI104" s="71">
        <v>0.11029908500000001</v>
      </c>
      <c r="AJ104" s="71">
        <v>0.13972578099999999</v>
      </c>
      <c r="AK104" s="71">
        <v>0.15502576800000001</v>
      </c>
      <c r="AL104" s="71">
        <v>0.161657884</v>
      </c>
      <c r="AM104" s="71">
        <v>0.165619024</v>
      </c>
      <c r="AN104" s="71">
        <v>0.26265792300000002</v>
      </c>
      <c r="AO104" s="71">
        <v>-0.117265455</v>
      </c>
      <c r="AP104" s="71">
        <v>0.43865985499999999</v>
      </c>
    </row>
    <row r="105" spans="1:42" x14ac:dyDescent="0.2">
      <c r="A105" t="s">
        <v>178</v>
      </c>
      <c r="B105" t="s">
        <v>129</v>
      </c>
      <c r="C105" t="s">
        <v>173</v>
      </c>
      <c r="D105" t="s">
        <v>160</v>
      </c>
      <c r="E105" s="71">
        <v>1.4346123000000001E-2</v>
      </c>
      <c r="F105" s="71">
        <v>1.9910455000000001E-2</v>
      </c>
      <c r="G105" s="71">
        <v>3.3113956E-2</v>
      </c>
      <c r="H105" s="71">
        <v>5.1696896999999999E-2</v>
      </c>
      <c r="I105" s="71">
        <v>6.4347386000000006E-2</v>
      </c>
      <c r="J105" s="71">
        <v>7.2938204000000006E-2</v>
      </c>
      <c r="K105" s="71">
        <v>7.8981995999999999E-2</v>
      </c>
      <c r="L105" s="71">
        <v>-8.5883754000000007E-2</v>
      </c>
      <c r="M105" s="71">
        <v>-7.3740341000000001E-2</v>
      </c>
      <c r="N105" s="71">
        <v>-6.1785498000000001E-2</v>
      </c>
      <c r="O105" s="71">
        <v>-4.6042773000000002E-2</v>
      </c>
      <c r="P105" s="71">
        <v>-3.6092020000000002E-2</v>
      </c>
      <c r="Q105" s="71">
        <v>-2.2953922000000002E-2</v>
      </c>
      <c r="R105" s="71">
        <v>-1.2418617999999999E-2</v>
      </c>
      <c r="S105" s="71">
        <v>0.123795791</v>
      </c>
      <c r="T105" s="71">
        <v>0.12090535400000001</v>
      </c>
      <c r="U105" s="71">
        <v>0.13579450600000001</v>
      </c>
      <c r="V105" s="71">
        <v>0.15816312099999999</v>
      </c>
      <c r="W105" s="71">
        <v>0.171445613</v>
      </c>
      <c r="X105" s="71">
        <v>0.17811264500000001</v>
      </c>
      <c r="Y105" s="71">
        <v>0.17954363800000001</v>
      </c>
      <c r="Z105" s="71">
        <v>-4.5403921E-2</v>
      </c>
      <c r="AA105" s="71">
        <v>-4.3697284000000003E-2</v>
      </c>
      <c r="AB105" s="71">
        <v>-4.1866071999999997E-2</v>
      </c>
      <c r="AC105" s="71">
        <v>-3.4481011999999998E-2</v>
      </c>
      <c r="AD105" s="71">
        <v>-2.2510044E-2</v>
      </c>
      <c r="AE105" s="71">
        <v>-1.2710313000000001E-2</v>
      </c>
      <c r="AF105" s="71">
        <v>-9.1345579999999992E-3</v>
      </c>
      <c r="AG105" s="71">
        <v>7.7756849000000003E-2</v>
      </c>
      <c r="AH105" s="71">
        <v>8.7673567999999993E-2</v>
      </c>
      <c r="AI105" s="71">
        <v>0.11389585200000001</v>
      </c>
      <c r="AJ105" s="71">
        <v>0.145515213</v>
      </c>
      <c r="AK105" s="71">
        <v>0.15888229300000001</v>
      </c>
      <c r="AL105" s="71">
        <v>0.165983875</v>
      </c>
      <c r="AM105" s="71">
        <v>0.174906909</v>
      </c>
      <c r="AN105" s="71">
        <v>0.26644715899999999</v>
      </c>
      <c r="AO105" s="71">
        <v>-0.187818652</v>
      </c>
      <c r="AP105" s="71">
        <v>0.52270936300000004</v>
      </c>
    </row>
    <row r="106" spans="1:42" x14ac:dyDescent="0.2">
      <c r="A106" t="s">
        <v>191</v>
      </c>
      <c r="B106" t="s">
        <v>129</v>
      </c>
      <c r="C106" t="s">
        <v>173</v>
      </c>
      <c r="D106" t="s">
        <v>160</v>
      </c>
      <c r="E106" s="71">
        <v>3.4757257E-2</v>
      </c>
      <c r="F106" s="71">
        <v>3.9891719999999999E-2</v>
      </c>
      <c r="G106" s="71">
        <v>5.2618742000000003E-2</v>
      </c>
      <c r="H106" s="71">
        <v>7.1365833000000004E-2</v>
      </c>
      <c r="I106" s="71">
        <v>8.4531187999999993E-2</v>
      </c>
      <c r="J106" s="71">
        <v>9.3601703999999994E-2</v>
      </c>
      <c r="K106" s="71">
        <v>0.100025296</v>
      </c>
      <c r="L106" s="71">
        <v>-6.8072793000000006E-2</v>
      </c>
      <c r="M106" s="71">
        <v>-5.6597660000000001E-2</v>
      </c>
      <c r="N106" s="71">
        <v>-4.6670063999999997E-2</v>
      </c>
      <c r="O106" s="71">
        <v>-3.0338014E-2</v>
      </c>
      <c r="P106" s="71">
        <v>-1.5619373000000001E-2</v>
      </c>
      <c r="Q106" s="71">
        <v>-4.6172139999999997E-3</v>
      </c>
      <c r="R106" s="71">
        <v>6.2489199999999998E-3</v>
      </c>
      <c r="S106" s="71">
        <v>0.148369637</v>
      </c>
      <c r="T106" s="71">
        <v>0.14711777400000001</v>
      </c>
      <c r="U106" s="71">
        <v>0.16262795599999999</v>
      </c>
      <c r="V106" s="71">
        <v>0.18465151499999999</v>
      </c>
      <c r="W106" s="71">
        <v>0.196074623</v>
      </c>
      <c r="X106" s="71">
        <v>0.20184264599999999</v>
      </c>
      <c r="Y106" s="71">
        <v>0.202347997</v>
      </c>
      <c r="Z106" s="71">
        <v>-2.9247148000000001E-2</v>
      </c>
      <c r="AA106" s="71">
        <v>-2.6677860000000001E-2</v>
      </c>
      <c r="AB106" s="71">
        <v>-2.8894744999999999E-2</v>
      </c>
      <c r="AC106" s="71">
        <v>-2.0952852000000001E-2</v>
      </c>
      <c r="AD106" s="71">
        <v>-5.7302689999999996E-3</v>
      </c>
      <c r="AE106" s="71">
        <v>5.5879830000000004E-3</v>
      </c>
      <c r="AF106" s="71">
        <v>1.3730874000000001E-2</v>
      </c>
      <c r="AG106" s="71">
        <v>0.102981554</v>
      </c>
      <c r="AH106" s="71">
        <v>0.111014133</v>
      </c>
      <c r="AI106" s="71">
        <v>0.14097447799999999</v>
      </c>
      <c r="AJ106" s="71">
        <v>0.17238953400000001</v>
      </c>
      <c r="AK106" s="71">
        <v>0.182986704</v>
      </c>
      <c r="AL106" s="71">
        <v>0.189318811</v>
      </c>
      <c r="AM106" s="71">
        <v>0.19366551800000001</v>
      </c>
      <c r="AN106" s="71">
        <v>0.27299181500000003</v>
      </c>
      <c r="AO106" s="71">
        <v>-9.6706203000000004E-2</v>
      </c>
      <c r="AP106" s="71">
        <v>0.49735126400000002</v>
      </c>
    </row>
    <row r="107" spans="1:42" x14ac:dyDescent="0.2">
      <c r="A107" t="s">
        <v>254</v>
      </c>
      <c r="B107" t="s">
        <v>129</v>
      </c>
      <c r="C107" t="s">
        <v>173</v>
      </c>
      <c r="D107" t="s">
        <v>160</v>
      </c>
      <c r="E107" s="71">
        <v>1.2376547E-2</v>
      </c>
      <c r="F107" s="71">
        <v>1.8451095000000001E-2</v>
      </c>
      <c r="G107" s="71">
        <v>3.2919048999999999E-2</v>
      </c>
      <c r="H107" s="71">
        <v>5.3206800999999998E-2</v>
      </c>
      <c r="I107" s="71">
        <v>6.6889763000000005E-2</v>
      </c>
      <c r="J107" s="71">
        <v>7.6111554999999997E-2</v>
      </c>
      <c r="K107" s="71">
        <v>8.2570553000000005E-2</v>
      </c>
      <c r="L107" s="71">
        <v>-8.9784408999999996E-2</v>
      </c>
      <c r="M107" s="71">
        <v>-7.8921036E-2</v>
      </c>
      <c r="N107" s="71">
        <v>-6.6656481000000004E-2</v>
      </c>
      <c r="O107" s="71">
        <v>-4.7882107E-2</v>
      </c>
      <c r="P107" s="71">
        <v>-3.3016341999999997E-2</v>
      </c>
      <c r="Q107" s="71">
        <v>-2.2807961000000002E-2</v>
      </c>
      <c r="R107" s="71">
        <v>-1.0109277E-2</v>
      </c>
      <c r="S107" s="71">
        <v>0.12672008000000001</v>
      </c>
      <c r="T107" s="71">
        <v>0.127483183</v>
      </c>
      <c r="U107" s="71">
        <v>0.14118846500000001</v>
      </c>
      <c r="V107" s="71">
        <v>0.16688918599999999</v>
      </c>
      <c r="W107" s="71">
        <v>0.176217239</v>
      </c>
      <c r="X107" s="71">
        <v>0.183372964</v>
      </c>
      <c r="Y107" s="71">
        <v>0.18511106799999999</v>
      </c>
      <c r="Z107" s="71">
        <v>-5.0179363999999997E-2</v>
      </c>
      <c r="AA107" s="71">
        <v>-4.7317054999999997E-2</v>
      </c>
      <c r="AB107" s="71">
        <v>-4.5775894999999997E-2</v>
      </c>
      <c r="AC107" s="71">
        <v>-3.0829730999999999E-2</v>
      </c>
      <c r="AD107" s="71">
        <v>-2.3392355E-2</v>
      </c>
      <c r="AE107" s="71">
        <v>-1.1046824E-2</v>
      </c>
      <c r="AF107" s="71">
        <v>-2.182565E-3</v>
      </c>
      <c r="AG107" s="71">
        <v>7.8973275999999995E-2</v>
      </c>
      <c r="AH107" s="71">
        <v>8.8684245999999994E-2</v>
      </c>
      <c r="AI107" s="71">
        <v>0.11803775900000001</v>
      </c>
      <c r="AJ107" s="71">
        <v>0.14447882400000001</v>
      </c>
      <c r="AK107" s="71">
        <v>0.16547725799999999</v>
      </c>
      <c r="AL107" s="71">
        <v>0.170918292</v>
      </c>
      <c r="AM107" s="71">
        <v>0.174494331</v>
      </c>
      <c r="AN107" s="71">
        <v>0.27797232300000002</v>
      </c>
      <c r="AO107" s="71">
        <v>-0.16828205199999999</v>
      </c>
      <c r="AP107" s="71">
        <v>0.53147956699999999</v>
      </c>
    </row>
    <row r="108" spans="1:42" x14ac:dyDescent="0.2">
      <c r="A108" t="s">
        <v>214</v>
      </c>
      <c r="B108" t="s">
        <v>129</v>
      </c>
      <c r="C108" t="s">
        <v>173</v>
      </c>
      <c r="D108" t="s">
        <v>160</v>
      </c>
      <c r="E108" s="71">
        <v>2.7465940000000001E-2</v>
      </c>
      <c r="F108" s="71">
        <v>3.1656027000000003E-2</v>
      </c>
      <c r="G108" s="71">
        <v>4.1848539999999997E-2</v>
      </c>
      <c r="H108" s="71">
        <v>5.6545377000000001E-2</v>
      </c>
      <c r="I108" s="71">
        <v>6.6714763999999996E-2</v>
      </c>
      <c r="J108" s="71">
        <v>7.3677659000000006E-2</v>
      </c>
      <c r="K108" s="71">
        <v>7.8597307000000005E-2</v>
      </c>
      <c r="L108" s="71">
        <v>-7.8309206000000006E-2</v>
      </c>
      <c r="M108" s="71">
        <v>-6.5769372000000006E-2</v>
      </c>
      <c r="N108" s="71">
        <v>-5.7485787000000003E-2</v>
      </c>
      <c r="O108" s="71">
        <v>-4.5938132999999999E-2</v>
      </c>
      <c r="P108" s="71">
        <v>-3.4326322999999999E-2</v>
      </c>
      <c r="Q108" s="71">
        <v>-2.4992591000000001E-2</v>
      </c>
      <c r="R108" s="71">
        <v>-1.7045015E-2</v>
      </c>
      <c r="S108" s="71">
        <v>0.14545851600000001</v>
      </c>
      <c r="T108" s="71">
        <v>0.14039522199999999</v>
      </c>
      <c r="U108" s="71">
        <v>0.151278096</v>
      </c>
      <c r="V108" s="71">
        <v>0.16718988500000001</v>
      </c>
      <c r="W108" s="71">
        <v>0.176298436</v>
      </c>
      <c r="X108" s="71">
        <v>0.181574287</v>
      </c>
      <c r="Y108" s="71">
        <v>0.181594007</v>
      </c>
      <c r="Z108" s="71">
        <v>-3.3446010999999998E-2</v>
      </c>
      <c r="AA108" s="71">
        <v>-3.5769543000000001E-2</v>
      </c>
      <c r="AB108" s="71">
        <v>-3.7461067000000001E-2</v>
      </c>
      <c r="AC108" s="71">
        <v>-3.6398660999999999E-2</v>
      </c>
      <c r="AD108" s="71">
        <v>-2.7214723E-2</v>
      </c>
      <c r="AE108" s="71">
        <v>-1.4751366E-2</v>
      </c>
      <c r="AF108" s="71">
        <v>-1.0423694000000001E-2</v>
      </c>
      <c r="AG108" s="71">
        <v>9.2136313999999997E-2</v>
      </c>
      <c r="AH108" s="71">
        <v>0.103719942</v>
      </c>
      <c r="AI108" s="71">
        <v>0.127626401</v>
      </c>
      <c r="AJ108" s="71">
        <v>0.15840276</v>
      </c>
      <c r="AK108" s="71">
        <v>0.16967309699999999</v>
      </c>
      <c r="AL108" s="71">
        <v>0.17001005399999999</v>
      </c>
      <c r="AM108" s="71">
        <v>0.175598636</v>
      </c>
      <c r="AN108" s="71">
        <v>0.290454396</v>
      </c>
      <c r="AO108" s="71">
        <v>-0.12061535499999999</v>
      </c>
      <c r="AP108" s="71">
        <v>0.57752853999999998</v>
      </c>
    </row>
    <row r="109" spans="1:42" x14ac:dyDescent="0.2">
      <c r="A109" t="s">
        <v>164</v>
      </c>
      <c r="B109" t="s">
        <v>129</v>
      </c>
      <c r="C109" t="s">
        <v>173</v>
      </c>
      <c r="D109" t="s">
        <v>172</v>
      </c>
      <c r="E109" s="71">
        <v>6.9977049999999999E-3</v>
      </c>
      <c r="F109" s="71">
        <v>1.2120723999999999E-2</v>
      </c>
      <c r="G109" s="71">
        <v>2.4642229000000002E-2</v>
      </c>
      <c r="H109" s="71">
        <v>4.2839170000000003E-2</v>
      </c>
      <c r="I109" s="71">
        <v>5.5536627999999998E-2</v>
      </c>
      <c r="J109" s="71">
        <v>6.4284681999999996E-2</v>
      </c>
      <c r="K109" s="71">
        <v>7.0493102000000002E-2</v>
      </c>
      <c r="L109" s="71">
        <v>-9.3338697999999998E-2</v>
      </c>
      <c r="M109" s="71">
        <v>-8.2921159999999994E-2</v>
      </c>
      <c r="N109" s="71">
        <v>-7.1961501999999997E-2</v>
      </c>
      <c r="O109" s="71">
        <v>-5.8440599000000003E-2</v>
      </c>
      <c r="P109" s="71">
        <v>-4.5431847999999997E-2</v>
      </c>
      <c r="Q109" s="71">
        <v>-3.4124913999999999E-2</v>
      </c>
      <c r="R109" s="71">
        <v>-2.2915319999999999E-2</v>
      </c>
      <c r="S109" s="71">
        <v>0.117712253</v>
      </c>
      <c r="T109" s="71">
        <v>0.114421275</v>
      </c>
      <c r="U109" s="71">
        <v>0.13191533599999999</v>
      </c>
      <c r="V109" s="71">
        <v>0.15491417900000001</v>
      </c>
      <c r="W109" s="71">
        <v>0.166288676</v>
      </c>
      <c r="X109" s="71">
        <v>0.17150280000000001</v>
      </c>
      <c r="Y109" s="71">
        <v>0.17074758500000001</v>
      </c>
      <c r="Z109" s="71">
        <v>-5.4186528999999997E-2</v>
      </c>
      <c r="AA109" s="71">
        <v>-5.3462778000000002E-2</v>
      </c>
      <c r="AB109" s="71">
        <v>-5.5187130000000001E-2</v>
      </c>
      <c r="AC109" s="71">
        <v>-4.8199278999999998E-2</v>
      </c>
      <c r="AD109" s="71">
        <v>-3.9132985000000002E-2</v>
      </c>
      <c r="AE109" s="71">
        <v>-2.7434573E-2</v>
      </c>
      <c r="AF109" s="71">
        <v>-1.6411162E-2</v>
      </c>
      <c r="AG109" s="71">
        <v>7.2061357000000006E-2</v>
      </c>
      <c r="AH109" s="71">
        <v>8.2173386000000001E-2</v>
      </c>
      <c r="AI109" s="71">
        <v>0.11115082799999999</v>
      </c>
      <c r="AJ109" s="71">
        <v>0.14253422499999999</v>
      </c>
      <c r="AK109" s="71">
        <v>0.159492993</v>
      </c>
      <c r="AL109" s="71">
        <v>0.16462069100000001</v>
      </c>
      <c r="AM109" s="71">
        <v>0.16504798600000001</v>
      </c>
      <c r="AN109" s="71">
        <v>0.27547038299999999</v>
      </c>
      <c r="AO109" s="71">
        <v>-0.15975652800000001</v>
      </c>
      <c r="AP109" s="71">
        <v>0.51225582999999997</v>
      </c>
    </row>
    <row r="110" spans="1:42" x14ac:dyDescent="0.2">
      <c r="A110" t="s">
        <v>345</v>
      </c>
      <c r="B110" t="s">
        <v>129</v>
      </c>
      <c r="C110" t="s">
        <v>173</v>
      </c>
      <c r="D110" t="s">
        <v>172</v>
      </c>
      <c r="E110" s="71">
        <v>2.0781760000000002E-3</v>
      </c>
      <c r="F110" s="71">
        <v>8.9426039999999998E-3</v>
      </c>
      <c r="G110" s="71">
        <v>2.5584221000000001E-2</v>
      </c>
      <c r="H110" s="71">
        <v>4.9583673000000002E-2</v>
      </c>
      <c r="I110" s="71">
        <v>6.6195846000000003E-2</v>
      </c>
      <c r="J110" s="71">
        <v>7.7567338999999999E-2</v>
      </c>
      <c r="K110" s="71">
        <v>8.5600256999999999E-2</v>
      </c>
      <c r="L110" s="71">
        <v>-9.6435728999999998E-2</v>
      </c>
      <c r="M110" s="71">
        <v>-8.3117538000000005E-2</v>
      </c>
      <c r="N110" s="71">
        <v>-6.9978351999999994E-2</v>
      </c>
      <c r="O110" s="71">
        <v>-5.0694549999999998E-2</v>
      </c>
      <c r="P110" s="71">
        <v>-3.4348628999999999E-2</v>
      </c>
      <c r="Q110" s="71">
        <v>-2.0081996000000001E-2</v>
      </c>
      <c r="R110" s="71">
        <v>-8.450351E-3</v>
      </c>
      <c r="S110" s="71">
        <v>0.11278131199999999</v>
      </c>
      <c r="T110" s="71">
        <v>0.110227821</v>
      </c>
      <c r="U110" s="71">
        <v>0.13019212499999999</v>
      </c>
      <c r="V110" s="71">
        <v>0.160322729</v>
      </c>
      <c r="W110" s="71">
        <v>0.17712380899999999</v>
      </c>
      <c r="X110" s="71">
        <v>0.18549632499999999</v>
      </c>
      <c r="Y110" s="71">
        <v>0.18887274400000001</v>
      </c>
      <c r="Z110" s="71">
        <v>-5.7721087999999997E-2</v>
      </c>
      <c r="AA110" s="71">
        <v>-5.5839280999999998E-2</v>
      </c>
      <c r="AB110" s="71">
        <v>-5.1448862999999997E-2</v>
      </c>
      <c r="AC110" s="71">
        <v>-3.9064414999999998E-2</v>
      </c>
      <c r="AD110" s="71">
        <v>-2.9608195E-2</v>
      </c>
      <c r="AE110" s="71">
        <v>-1.6610255000000001E-2</v>
      </c>
      <c r="AF110" s="71">
        <v>-4.3068079999999996E-3</v>
      </c>
      <c r="AG110" s="71">
        <v>6.5594239999999998E-2</v>
      </c>
      <c r="AH110" s="71">
        <v>7.8094806000000003E-2</v>
      </c>
      <c r="AI110" s="71">
        <v>0.108807875</v>
      </c>
      <c r="AJ110" s="71">
        <v>0.14635859700000001</v>
      </c>
      <c r="AK110" s="71">
        <v>0.171417656</v>
      </c>
      <c r="AL110" s="71">
        <v>0.180730434</v>
      </c>
      <c r="AM110" s="71">
        <v>0.18359725800000001</v>
      </c>
      <c r="AN110" s="71">
        <v>0.27200686299999999</v>
      </c>
      <c r="AO110" s="71">
        <v>-0.14447975800000001</v>
      </c>
      <c r="AP110" s="71">
        <v>0.49892316799999997</v>
      </c>
    </row>
    <row r="111" spans="1:42" x14ac:dyDescent="0.2">
      <c r="A111" t="s">
        <v>138</v>
      </c>
      <c r="B111" t="s">
        <v>129</v>
      </c>
      <c r="C111" t="s">
        <v>163</v>
      </c>
      <c r="D111" t="s">
        <v>100</v>
      </c>
      <c r="E111" s="71">
        <v>5.2417039999999998E-2</v>
      </c>
      <c r="F111" s="71">
        <v>5.3556204000000003E-2</v>
      </c>
      <c r="G111" s="75">
        <v>5.6246877000000001E-2</v>
      </c>
      <c r="H111" s="71">
        <v>5.9933066E-2</v>
      </c>
      <c r="I111" s="71">
        <v>6.2327861999999998E-2</v>
      </c>
      <c r="J111" s="71">
        <v>6.3879848000000003E-2</v>
      </c>
      <c r="K111" s="71">
        <v>6.4929007999999996E-2</v>
      </c>
      <c r="L111" s="71">
        <v>1.5514040999999999E-2</v>
      </c>
      <c r="M111" s="71">
        <v>2.1314535999999999E-2</v>
      </c>
      <c r="N111" s="71">
        <v>2.7217819000000001E-2</v>
      </c>
      <c r="O111" s="71">
        <v>3.3942529999999999E-2</v>
      </c>
      <c r="P111" s="71">
        <v>3.7872342000000003E-2</v>
      </c>
      <c r="Q111" s="71">
        <v>4.0721504999999998E-2</v>
      </c>
      <c r="R111" s="71">
        <v>4.2962265999999999E-2</v>
      </c>
      <c r="S111" s="71">
        <v>9.0838436999999994E-2</v>
      </c>
      <c r="T111" s="71">
        <v>8.7412198999999996E-2</v>
      </c>
      <c r="U111" s="71">
        <v>8.5768675000000003E-2</v>
      </c>
      <c r="V111" s="71">
        <v>8.6063560999999997E-2</v>
      </c>
      <c r="W111" s="71">
        <v>8.7441090999999999E-2</v>
      </c>
      <c r="X111" s="71">
        <v>8.7767696000000006E-2</v>
      </c>
      <c r="Y111" s="71">
        <v>8.7640071E-2</v>
      </c>
      <c r="Z111" s="71">
        <v>4.1762922000000001E-2</v>
      </c>
      <c r="AA111" s="71">
        <v>4.1876285999999999E-2</v>
      </c>
      <c r="AB111" s="71">
        <v>4.2216569000000002E-2</v>
      </c>
      <c r="AC111" s="71">
        <v>4.3659622000000002E-2</v>
      </c>
      <c r="AD111" s="71">
        <v>4.5162503E-2</v>
      </c>
      <c r="AE111" s="71">
        <v>4.6884515000000002E-2</v>
      </c>
      <c r="AF111" s="71">
        <v>4.7666053999999999E-2</v>
      </c>
      <c r="AG111" s="71">
        <v>6.3179029999999997E-2</v>
      </c>
      <c r="AH111" s="71">
        <v>6.5365950000000006E-2</v>
      </c>
      <c r="AI111" s="71">
        <v>7.0465175000000005E-2</v>
      </c>
      <c r="AJ111" s="71">
        <v>7.6459495000000002E-2</v>
      </c>
      <c r="AK111" s="71">
        <v>7.9774606999999997E-2</v>
      </c>
      <c r="AL111" s="71">
        <v>8.1150643999999994E-2</v>
      </c>
      <c r="AM111" s="71">
        <v>8.2476191000000004E-2</v>
      </c>
      <c r="AN111" s="71">
        <v>0.115264241</v>
      </c>
      <c r="AO111" s="71">
        <v>0.13258477399999999</v>
      </c>
      <c r="AP111" s="71">
        <v>0.87470927099999995</v>
      </c>
    </row>
    <row r="112" spans="1:42" x14ac:dyDescent="0.2">
      <c r="A112" t="s">
        <v>138</v>
      </c>
      <c r="B112" t="s">
        <v>129</v>
      </c>
      <c r="C112" t="s">
        <v>171</v>
      </c>
      <c r="D112" t="s">
        <v>159</v>
      </c>
      <c r="E112" s="71">
        <v>5.5264831E-2</v>
      </c>
      <c r="F112" s="71">
        <v>5.6258797999999999E-2</v>
      </c>
      <c r="G112" s="75">
        <v>5.8598518000000002E-2</v>
      </c>
      <c r="H112" s="71">
        <v>6.1784387000000003E-2</v>
      </c>
      <c r="I112" s="71">
        <v>6.3837408999999998E-2</v>
      </c>
      <c r="J112" s="71">
        <v>6.5157412999999997E-2</v>
      </c>
      <c r="K112" s="71">
        <v>6.6043973000000006E-2</v>
      </c>
      <c r="L112" s="71">
        <v>-7.6854428000000002E-2</v>
      </c>
      <c r="M112" s="71">
        <v>-7.3324891000000003E-2</v>
      </c>
      <c r="N112" s="71">
        <v>-8.5021612999999996E-2</v>
      </c>
      <c r="O112" s="71">
        <v>-9.0007239000000003E-2</v>
      </c>
      <c r="P112" s="71">
        <v>-8.9174148999999994E-2</v>
      </c>
      <c r="Q112" s="71">
        <v>-8.1558973000000007E-2</v>
      </c>
      <c r="R112" s="71">
        <v>-7.4573762000000002E-2</v>
      </c>
      <c r="S112" s="71">
        <v>0.20467612099999999</v>
      </c>
      <c r="T112" s="71">
        <v>0.20518368200000001</v>
      </c>
      <c r="U112" s="71">
        <v>0.22416693300000001</v>
      </c>
      <c r="V112" s="71">
        <v>0.23954964200000001</v>
      </c>
      <c r="W112" s="71">
        <v>0.24200970799999999</v>
      </c>
      <c r="X112" s="71">
        <v>0.235518749</v>
      </c>
      <c r="Y112" s="71">
        <v>0.22975932099999999</v>
      </c>
      <c r="Z112" s="71">
        <v>-4.3557158999999998E-2</v>
      </c>
      <c r="AA112" s="71">
        <v>-5.1075612999999999E-2</v>
      </c>
      <c r="AB112" s="71">
        <v>-6.7273860000000005E-2</v>
      </c>
      <c r="AC112" s="71">
        <v>-7.9474242E-2</v>
      </c>
      <c r="AD112" s="71">
        <v>-7.4430837999999999E-2</v>
      </c>
      <c r="AE112" s="71">
        <v>-7.2649101999999993E-2</v>
      </c>
      <c r="AF112" s="71">
        <v>-6.5215683999999996E-2</v>
      </c>
      <c r="AG112" s="71">
        <v>0.16429292600000001</v>
      </c>
      <c r="AH112" s="71">
        <v>0.17572955600000001</v>
      </c>
      <c r="AI112" s="71">
        <v>0.20145375600000001</v>
      </c>
      <c r="AJ112" s="71">
        <v>0.22471695999999999</v>
      </c>
      <c r="AK112" s="71">
        <v>0.222758967</v>
      </c>
      <c r="AL112" s="71">
        <v>0.22344072700000001</v>
      </c>
      <c r="AM112" s="71">
        <v>0.21573326000000001</v>
      </c>
      <c r="AN112" s="71">
        <v>0.31277066199999998</v>
      </c>
      <c r="AO112" s="71">
        <v>-2.5970179999999999E-2</v>
      </c>
      <c r="AP112" s="71">
        <v>0.36396246599999998</v>
      </c>
    </row>
    <row r="113" spans="1:42" x14ac:dyDescent="0.2">
      <c r="A113" t="s">
        <v>240</v>
      </c>
      <c r="B113" t="s">
        <v>129</v>
      </c>
      <c r="C113" t="s">
        <v>171</v>
      </c>
      <c r="D113" t="s">
        <v>159</v>
      </c>
      <c r="E113" s="71">
        <v>4.0700554999999999E-2</v>
      </c>
      <c r="F113" s="71">
        <v>4.1787744000000002E-2</v>
      </c>
      <c r="G113" s="71">
        <v>4.4409155999999998E-2</v>
      </c>
      <c r="H113" s="71">
        <v>4.8133492E-2</v>
      </c>
      <c r="I113" s="71">
        <v>5.0670980999999997E-2</v>
      </c>
      <c r="J113" s="71">
        <v>5.2388786999999999E-2</v>
      </c>
      <c r="K113" s="71">
        <v>5.3593278000000001E-2</v>
      </c>
      <c r="L113" s="71">
        <v>-9.0892798999999996E-2</v>
      </c>
      <c r="M113" s="71">
        <v>-8.8042910000000002E-2</v>
      </c>
      <c r="N113" s="71">
        <v>-9.6028854999999996E-2</v>
      </c>
      <c r="O113" s="71">
        <v>-0.101367473</v>
      </c>
      <c r="P113" s="71">
        <v>-0.10053565</v>
      </c>
      <c r="Q113" s="71">
        <v>-9.3544530000000001E-2</v>
      </c>
      <c r="R113" s="71">
        <v>-8.5046129999999998E-2</v>
      </c>
      <c r="S113" s="71">
        <v>0.19017832400000001</v>
      </c>
      <c r="T113" s="71">
        <v>0.186887252</v>
      </c>
      <c r="U113" s="71">
        <v>0.20583617000000001</v>
      </c>
      <c r="V113" s="71">
        <v>0.22131648600000001</v>
      </c>
      <c r="W113" s="71">
        <v>0.224755335</v>
      </c>
      <c r="X113" s="71">
        <v>0.221746478</v>
      </c>
      <c r="Y113" s="71">
        <v>0.21535547799999999</v>
      </c>
      <c r="Z113" s="71">
        <v>-5.5133224000000002E-2</v>
      </c>
      <c r="AA113" s="71">
        <v>-6.6592287E-2</v>
      </c>
      <c r="AB113" s="71">
        <v>-7.9577988000000002E-2</v>
      </c>
      <c r="AC113" s="71">
        <v>-8.8710733999999999E-2</v>
      </c>
      <c r="AD113" s="71">
        <v>-8.7166214000000006E-2</v>
      </c>
      <c r="AE113" s="71">
        <v>-8.4382690999999996E-2</v>
      </c>
      <c r="AF113" s="71">
        <v>-8.1789827999999995E-2</v>
      </c>
      <c r="AG113" s="71">
        <v>0.14624999699999999</v>
      </c>
      <c r="AH113" s="71">
        <v>0.162747949</v>
      </c>
      <c r="AI113" s="71">
        <v>0.185094595</v>
      </c>
      <c r="AJ113" s="71">
        <v>0.205524135</v>
      </c>
      <c r="AK113" s="71">
        <v>0.20931909900000001</v>
      </c>
      <c r="AL113" s="71">
        <v>0.209589041</v>
      </c>
      <c r="AM113" s="71">
        <v>0.208936067</v>
      </c>
      <c r="AN113" s="71">
        <v>0.30665616200000001</v>
      </c>
      <c r="AO113" s="71">
        <v>-0.122182002</v>
      </c>
      <c r="AP113" s="71">
        <v>0.29604394899999997</v>
      </c>
    </row>
    <row r="114" spans="1:42" x14ac:dyDescent="0.2">
      <c r="A114" t="s">
        <v>224</v>
      </c>
      <c r="B114" t="s">
        <v>129</v>
      </c>
      <c r="C114" t="s">
        <v>171</v>
      </c>
      <c r="D114" t="s">
        <v>159</v>
      </c>
      <c r="E114" s="71">
        <v>4.4932485000000001E-2</v>
      </c>
      <c r="F114" s="71">
        <v>4.6107054000000001E-2</v>
      </c>
      <c r="G114" s="71">
        <v>4.8823953000000003E-2</v>
      </c>
      <c r="H114" s="71">
        <v>5.2401543000000002E-2</v>
      </c>
      <c r="I114" s="71">
        <v>5.4597497000000002E-2</v>
      </c>
      <c r="J114" s="71">
        <v>5.594039E-2</v>
      </c>
      <c r="K114" s="71">
        <v>5.6800960999999997E-2</v>
      </c>
      <c r="L114" s="71">
        <v>-8.6193359999999997E-2</v>
      </c>
      <c r="M114" s="71">
        <v>-7.9980455000000006E-2</v>
      </c>
      <c r="N114" s="71">
        <v>-9.1426561000000003E-2</v>
      </c>
      <c r="O114" s="71">
        <v>-9.4263747999999994E-2</v>
      </c>
      <c r="P114" s="71">
        <v>-9.2330489000000002E-2</v>
      </c>
      <c r="Q114" s="71">
        <v>-8.5879758E-2</v>
      </c>
      <c r="R114" s="71">
        <v>-8.1425630999999998E-2</v>
      </c>
      <c r="S114" s="71">
        <v>0.196785665</v>
      </c>
      <c r="T114" s="71">
        <v>0.192475008</v>
      </c>
      <c r="U114" s="71">
        <v>0.20826430000000001</v>
      </c>
      <c r="V114" s="71">
        <v>0.22375858700000001</v>
      </c>
      <c r="W114" s="71">
        <v>0.22605710700000001</v>
      </c>
      <c r="X114" s="71">
        <v>0.22345949400000001</v>
      </c>
      <c r="Y114" s="71">
        <v>0.21882465800000001</v>
      </c>
      <c r="Z114" s="71">
        <v>-5.1370741999999997E-2</v>
      </c>
      <c r="AA114" s="71">
        <v>-5.5364811999999999E-2</v>
      </c>
      <c r="AB114" s="71">
        <v>-7.5082550999999997E-2</v>
      </c>
      <c r="AC114" s="71">
        <v>-8.6691540999999997E-2</v>
      </c>
      <c r="AD114" s="71">
        <v>-8.5518495E-2</v>
      </c>
      <c r="AE114" s="71">
        <v>-9.3330617000000005E-2</v>
      </c>
      <c r="AF114" s="71">
        <v>-8.6519599000000003E-2</v>
      </c>
      <c r="AG114" s="71">
        <v>0.15100782900000001</v>
      </c>
      <c r="AH114" s="71">
        <v>0.15847484000000001</v>
      </c>
      <c r="AI114" s="71">
        <v>0.18932606699999999</v>
      </c>
      <c r="AJ114" s="71">
        <v>0.21267517999999999</v>
      </c>
      <c r="AK114" s="71">
        <v>0.21617994900000001</v>
      </c>
      <c r="AL114" s="71">
        <v>0.229785079</v>
      </c>
      <c r="AM114" s="71">
        <v>0.22260644399999999</v>
      </c>
      <c r="AN114" s="71">
        <v>0.30071439300000002</v>
      </c>
      <c r="AO114" s="71">
        <v>-5.3011352999999997E-2</v>
      </c>
      <c r="AP114" s="71">
        <v>0.29286061099999999</v>
      </c>
    </row>
    <row r="115" spans="1:42" x14ac:dyDescent="0.2">
      <c r="A115" t="s">
        <v>200</v>
      </c>
      <c r="B115" t="s">
        <v>129</v>
      </c>
      <c r="C115" t="s">
        <v>171</v>
      </c>
      <c r="D115" t="s">
        <v>159</v>
      </c>
      <c r="E115" s="71">
        <v>2.0563602E-2</v>
      </c>
      <c r="F115" s="71">
        <v>2.2316455999999998E-2</v>
      </c>
      <c r="G115" s="71">
        <v>2.6364207000000001E-2</v>
      </c>
      <c r="H115" s="71">
        <v>3.1871676000000002E-2</v>
      </c>
      <c r="I115" s="71">
        <v>3.5523056999999997E-2</v>
      </c>
      <c r="J115" s="71">
        <v>3.7967920000000002E-2</v>
      </c>
      <c r="K115" s="71">
        <v>3.9674639999999997E-2</v>
      </c>
      <c r="L115" s="71">
        <v>-0.11220406199999999</v>
      </c>
      <c r="M115" s="71">
        <v>-0.105009695</v>
      </c>
      <c r="N115" s="71">
        <v>-0.11496408299999999</v>
      </c>
      <c r="O115" s="71">
        <v>-0.11454444799999999</v>
      </c>
      <c r="P115" s="71">
        <v>-0.112967147</v>
      </c>
      <c r="Q115" s="71">
        <v>-0.10553797400000001</v>
      </c>
      <c r="R115" s="71">
        <v>-9.9119794999999997E-2</v>
      </c>
      <c r="S115" s="71">
        <v>0.16880953500000001</v>
      </c>
      <c r="T115" s="71">
        <v>0.16687006800000001</v>
      </c>
      <c r="U115" s="71">
        <v>0.18901962899999999</v>
      </c>
      <c r="V115" s="71">
        <v>0.20520645000000001</v>
      </c>
      <c r="W115" s="71">
        <v>0.20719854600000001</v>
      </c>
      <c r="X115" s="71">
        <v>0.205128106</v>
      </c>
      <c r="Y115" s="71">
        <v>0.19977824499999999</v>
      </c>
      <c r="Z115" s="71">
        <v>-7.4332988000000003E-2</v>
      </c>
      <c r="AA115" s="71">
        <v>-7.6987899999999998E-2</v>
      </c>
      <c r="AB115" s="71">
        <v>-9.0431593000000005E-2</v>
      </c>
      <c r="AC115" s="71">
        <v>-0.10234984900000001</v>
      </c>
      <c r="AD115" s="71">
        <v>-0.106728977</v>
      </c>
      <c r="AE115" s="71">
        <v>-9.8654438999999997E-2</v>
      </c>
      <c r="AF115" s="71">
        <v>-9.231868E-2</v>
      </c>
      <c r="AG115" s="71">
        <v>0.12522261800000001</v>
      </c>
      <c r="AH115" s="71">
        <v>0.13233672199999999</v>
      </c>
      <c r="AI115" s="71">
        <v>0.15818568899999999</v>
      </c>
      <c r="AJ115" s="71">
        <v>0.18618437199999999</v>
      </c>
      <c r="AK115" s="71">
        <v>0.200445717</v>
      </c>
      <c r="AL115" s="71">
        <v>0.19531301400000001</v>
      </c>
      <c r="AM115" s="71">
        <v>0.190873825</v>
      </c>
      <c r="AN115" s="71">
        <v>0.327437863</v>
      </c>
      <c r="AO115" s="71">
        <v>-0.16807720100000001</v>
      </c>
      <c r="AP115" s="71">
        <v>0.38270227200000001</v>
      </c>
    </row>
    <row r="116" spans="1:42" x14ac:dyDescent="0.2">
      <c r="A116" t="s">
        <v>259</v>
      </c>
      <c r="B116" t="s">
        <v>129</v>
      </c>
      <c r="C116" t="s">
        <v>171</v>
      </c>
      <c r="D116" t="s">
        <v>159</v>
      </c>
      <c r="E116" s="71">
        <v>4.4136285999999997E-2</v>
      </c>
      <c r="F116" s="71">
        <v>4.4988632000000001E-2</v>
      </c>
      <c r="G116" s="71">
        <v>4.6813011000000002E-2</v>
      </c>
      <c r="H116" s="71">
        <v>4.9002050999999998E-2</v>
      </c>
      <c r="I116" s="71">
        <v>5.0271987999999997E-2</v>
      </c>
      <c r="J116" s="71">
        <v>5.1051974E-2</v>
      </c>
      <c r="K116" s="71">
        <v>5.1571011999999999E-2</v>
      </c>
      <c r="L116" s="71">
        <v>-8.9325582000000001E-2</v>
      </c>
      <c r="M116" s="71">
        <v>-8.4945634000000006E-2</v>
      </c>
      <c r="N116" s="71">
        <v>-9.1137881000000004E-2</v>
      </c>
      <c r="O116" s="71">
        <v>-9.7835879000000001E-2</v>
      </c>
      <c r="P116" s="71">
        <v>-9.8689100000000002E-2</v>
      </c>
      <c r="Q116" s="71">
        <v>-9.6193792E-2</v>
      </c>
      <c r="R116" s="71">
        <v>-8.9841901000000002E-2</v>
      </c>
      <c r="S116" s="71">
        <v>0.196153572</v>
      </c>
      <c r="T116" s="71">
        <v>0.190076459</v>
      </c>
      <c r="U116" s="71">
        <v>0.20452566899999999</v>
      </c>
      <c r="V116" s="71">
        <v>0.22092255899999999</v>
      </c>
      <c r="W116" s="71">
        <v>0.22388083</v>
      </c>
      <c r="X116" s="71">
        <v>0.22066228800000001</v>
      </c>
      <c r="Y116" s="71">
        <v>0.21493027100000001</v>
      </c>
      <c r="Z116" s="71">
        <v>-5.0860290000000002E-2</v>
      </c>
      <c r="AA116" s="71">
        <v>-5.7971296999999998E-2</v>
      </c>
      <c r="AB116" s="71">
        <v>-7.3951371000000002E-2</v>
      </c>
      <c r="AC116" s="71">
        <v>-9.1096720000000006E-2</v>
      </c>
      <c r="AD116" s="71">
        <v>-8.7750497999999996E-2</v>
      </c>
      <c r="AE116" s="71">
        <v>-8.4989899999999993E-2</v>
      </c>
      <c r="AF116" s="71">
        <v>-8.0226310999999995E-2</v>
      </c>
      <c r="AG116" s="71">
        <v>0.14867546100000001</v>
      </c>
      <c r="AH116" s="71">
        <v>0.159234395</v>
      </c>
      <c r="AI116" s="71">
        <v>0.183354463</v>
      </c>
      <c r="AJ116" s="71">
        <v>0.210717922</v>
      </c>
      <c r="AK116" s="71">
        <v>0.20919449600000001</v>
      </c>
      <c r="AL116" s="71">
        <v>0.207334253</v>
      </c>
      <c r="AM116" s="71">
        <v>0.202265852</v>
      </c>
      <c r="AN116" s="71">
        <v>0.31462976999999998</v>
      </c>
      <c r="AO116" s="71">
        <v>-0.12510168499999999</v>
      </c>
      <c r="AP116" s="71">
        <v>0.32526323800000001</v>
      </c>
    </row>
    <row r="117" spans="1:42" x14ac:dyDescent="0.2">
      <c r="A117" t="s">
        <v>288</v>
      </c>
      <c r="B117" t="s">
        <v>129</v>
      </c>
      <c r="C117" t="s">
        <v>171</v>
      </c>
      <c r="D117" t="s">
        <v>159</v>
      </c>
      <c r="E117" s="71">
        <v>5.2440643000000002E-2</v>
      </c>
      <c r="F117" s="71">
        <v>5.3743124000000003E-2</v>
      </c>
      <c r="G117" s="71">
        <v>5.6873918000000002E-2</v>
      </c>
      <c r="H117" s="71">
        <v>6.1313748000000001E-2</v>
      </c>
      <c r="I117" s="71">
        <v>6.4336776999999998E-2</v>
      </c>
      <c r="J117" s="71">
        <v>6.6383600000000001E-2</v>
      </c>
      <c r="K117" s="71">
        <v>6.7818641999999998E-2</v>
      </c>
      <c r="L117" s="71">
        <v>-7.7834006999999997E-2</v>
      </c>
      <c r="M117" s="71">
        <v>-7.4756218999999999E-2</v>
      </c>
      <c r="N117" s="71">
        <v>-8.1951341999999996E-2</v>
      </c>
      <c r="O117" s="71">
        <v>-8.9387438E-2</v>
      </c>
      <c r="P117" s="71">
        <v>-8.3308497999999995E-2</v>
      </c>
      <c r="Q117" s="71">
        <v>-7.9097268999999998E-2</v>
      </c>
      <c r="R117" s="71">
        <v>-7.4517926999999998E-2</v>
      </c>
      <c r="S117" s="71">
        <v>0.203690028</v>
      </c>
      <c r="T117" s="71">
        <v>0.200515098</v>
      </c>
      <c r="U117" s="71">
        <v>0.21793073499999999</v>
      </c>
      <c r="V117" s="71">
        <v>0.23672523200000001</v>
      </c>
      <c r="W117" s="71">
        <v>0.236084459</v>
      </c>
      <c r="X117" s="71">
        <v>0.23430021500000001</v>
      </c>
      <c r="Y117" s="71">
        <v>0.23100653700000001</v>
      </c>
      <c r="Z117" s="71">
        <v>-4.6248834000000003E-2</v>
      </c>
      <c r="AA117" s="71">
        <v>-5.2220583000000001E-2</v>
      </c>
      <c r="AB117" s="71">
        <v>-6.5289104000000001E-2</v>
      </c>
      <c r="AC117" s="71">
        <v>-7.2060989000000006E-2</v>
      </c>
      <c r="AD117" s="71">
        <v>-7.1663676999999995E-2</v>
      </c>
      <c r="AE117" s="71">
        <v>-6.7556437999999996E-2</v>
      </c>
      <c r="AF117" s="71">
        <v>-6.2594290999999996E-2</v>
      </c>
      <c r="AG117" s="71">
        <v>0.16137680700000001</v>
      </c>
      <c r="AH117" s="71">
        <v>0.171586821</v>
      </c>
      <c r="AI117" s="71">
        <v>0.19503203699999999</v>
      </c>
      <c r="AJ117" s="71">
        <v>0.21388080200000001</v>
      </c>
      <c r="AK117" s="71">
        <v>0.22027871900000001</v>
      </c>
      <c r="AL117" s="71">
        <v>0.219577512</v>
      </c>
      <c r="AM117" s="71">
        <v>0.21638687700000001</v>
      </c>
      <c r="AN117" s="71">
        <v>0.29506538399999999</v>
      </c>
      <c r="AO117" s="71">
        <v>-7.4469357999999999E-2</v>
      </c>
      <c r="AP117" s="71">
        <v>0.247302252</v>
      </c>
    </row>
    <row r="118" spans="1:42" x14ac:dyDescent="0.2">
      <c r="A118" t="s">
        <v>272</v>
      </c>
      <c r="B118" t="s">
        <v>129</v>
      </c>
      <c r="C118" t="s">
        <v>171</v>
      </c>
      <c r="D118" t="s">
        <v>159</v>
      </c>
      <c r="E118" s="71">
        <v>3.6116957999999998E-2</v>
      </c>
      <c r="F118" s="71">
        <v>3.8130045000000001E-2</v>
      </c>
      <c r="G118" s="71">
        <v>4.2871951999999998E-2</v>
      </c>
      <c r="H118" s="71">
        <v>4.9426556000000003E-2</v>
      </c>
      <c r="I118" s="71">
        <v>5.3799272000000002E-2</v>
      </c>
      <c r="J118" s="71">
        <v>5.6728959000000002E-2</v>
      </c>
      <c r="K118" s="71">
        <v>5.8773278999999998E-2</v>
      </c>
      <c r="L118" s="71">
        <v>-9.1688532000000003E-2</v>
      </c>
      <c r="M118" s="71">
        <v>-8.9354063999999997E-2</v>
      </c>
      <c r="N118" s="71">
        <v>-9.3921416999999993E-2</v>
      </c>
      <c r="O118" s="71">
        <v>-0.10082618</v>
      </c>
      <c r="P118" s="71">
        <v>-9.6200147999999999E-2</v>
      </c>
      <c r="Q118" s="71">
        <v>-8.9684765999999999E-2</v>
      </c>
      <c r="R118" s="71">
        <v>-8.2819564999999998E-2</v>
      </c>
      <c r="S118" s="71">
        <v>0.182881291</v>
      </c>
      <c r="T118" s="71">
        <v>0.182001951</v>
      </c>
      <c r="U118" s="71">
        <v>0.197669713</v>
      </c>
      <c r="V118" s="71">
        <v>0.22424697900000001</v>
      </c>
      <c r="W118" s="71">
        <v>0.23085243899999999</v>
      </c>
      <c r="X118" s="71">
        <v>0.228586596</v>
      </c>
      <c r="Y118" s="71">
        <v>0.222374353</v>
      </c>
      <c r="Z118" s="71">
        <v>-5.9891707000000002E-2</v>
      </c>
      <c r="AA118" s="71">
        <v>-6.4591180999999998E-2</v>
      </c>
      <c r="AB118" s="71">
        <v>-8.2653914999999994E-2</v>
      </c>
      <c r="AC118" s="71">
        <v>-9.1824178000000006E-2</v>
      </c>
      <c r="AD118" s="71">
        <v>-9.0319309E-2</v>
      </c>
      <c r="AE118" s="71">
        <v>-8.7613284E-2</v>
      </c>
      <c r="AF118" s="71">
        <v>-8.0667433999999996E-2</v>
      </c>
      <c r="AG118" s="71">
        <v>0.141965071</v>
      </c>
      <c r="AH118" s="71">
        <v>0.152164246</v>
      </c>
      <c r="AI118" s="71">
        <v>0.18560290700000001</v>
      </c>
      <c r="AJ118" s="71">
        <v>0.212668786</v>
      </c>
      <c r="AK118" s="71">
        <v>0.220767619</v>
      </c>
      <c r="AL118" s="71">
        <v>0.22392069100000001</v>
      </c>
      <c r="AM118" s="71">
        <v>0.21937582999999999</v>
      </c>
      <c r="AN118" s="71">
        <v>0.29382151400000001</v>
      </c>
      <c r="AO118" s="71">
        <v>-3.5541275999999997E-2</v>
      </c>
      <c r="AP118" s="71">
        <v>0.241401055</v>
      </c>
    </row>
    <row r="119" spans="1:42" x14ac:dyDescent="0.2">
      <c r="A119" t="s">
        <v>178</v>
      </c>
      <c r="B119" t="s">
        <v>129</v>
      </c>
      <c r="C119" t="s">
        <v>171</v>
      </c>
      <c r="D119" t="s">
        <v>159</v>
      </c>
      <c r="E119" s="71">
        <v>4.2123079000000001E-2</v>
      </c>
      <c r="F119" s="71">
        <v>4.4334172999999998E-2</v>
      </c>
      <c r="G119" s="71">
        <v>4.9356340999999998E-2</v>
      </c>
      <c r="H119" s="71">
        <v>5.6096910999999999E-2</v>
      </c>
      <c r="I119" s="71">
        <v>6.0538054000000001E-2</v>
      </c>
      <c r="J119" s="71">
        <v>6.3506722000000002E-2</v>
      </c>
      <c r="K119" s="71">
        <v>6.5577984000000006E-2</v>
      </c>
      <c r="L119" s="71">
        <v>-8.9479175999999994E-2</v>
      </c>
      <c r="M119" s="71">
        <v>-8.3844470000000004E-2</v>
      </c>
      <c r="N119" s="71">
        <v>-8.8887851000000004E-2</v>
      </c>
      <c r="O119" s="71">
        <v>-9.2308529E-2</v>
      </c>
      <c r="P119" s="71">
        <v>-8.8403000999999995E-2</v>
      </c>
      <c r="Q119" s="71">
        <v>-8.2105891E-2</v>
      </c>
      <c r="R119" s="71">
        <v>-7.3874861E-2</v>
      </c>
      <c r="S119" s="71">
        <v>0.19566625900000001</v>
      </c>
      <c r="T119" s="71">
        <v>0.19344370599999999</v>
      </c>
      <c r="U119" s="71">
        <v>0.207463129</v>
      </c>
      <c r="V119" s="71">
        <v>0.22820828700000001</v>
      </c>
      <c r="W119" s="71">
        <v>0.23326941000000001</v>
      </c>
      <c r="X119" s="71">
        <v>0.23248434000000001</v>
      </c>
      <c r="Y119" s="71">
        <v>0.22691462000000001</v>
      </c>
      <c r="Z119" s="71">
        <v>-5.6027472000000002E-2</v>
      </c>
      <c r="AA119" s="71">
        <v>-6.0180578999999998E-2</v>
      </c>
      <c r="AB119" s="71">
        <v>-8.0342447999999997E-2</v>
      </c>
      <c r="AC119" s="71">
        <v>-8.9323693999999995E-2</v>
      </c>
      <c r="AD119" s="71">
        <v>-8.4533260999999998E-2</v>
      </c>
      <c r="AE119" s="71">
        <v>-7.2840540999999995E-2</v>
      </c>
      <c r="AF119" s="71">
        <v>-6.8357319E-2</v>
      </c>
      <c r="AG119" s="71">
        <v>0.15047449800000001</v>
      </c>
      <c r="AH119" s="71">
        <v>0.16046756600000001</v>
      </c>
      <c r="AI119" s="71">
        <v>0.19734264500000001</v>
      </c>
      <c r="AJ119" s="71">
        <v>0.224736029</v>
      </c>
      <c r="AK119" s="71">
        <v>0.22859613500000001</v>
      </c>
      <c r="AL119" s="71">
        <v>0.219903192</v>
      </c>
      <c r="AM119" s="71">
        <v>0.218766769</v>
      </c>
      <c r="AN119" s="71">
        <v>0.30681614899999998</v>
      </c>
      <c r="AO119" s="71">
        <v>-9.6754482000000003E-2</v>
      </c>
      <c r="AP119" s="71">
        <v>0.36770834299999999</v>
      </c>
    </row>
    <row r="120" spans="1:42" x14ac:dyDescent="0.2">
      <c r="A120" t="s">
        <v>191</v>
      </c>
      <c r="B120" t="s">
        <v>129</v>
      </c>
      <c r="C120" t="s">
        <v>171</v>
      </c>
      <c r="D120" t="s">
        <v>159</v>
      </c>
      <c r="E120" s="71">
        <v>6.3148259999999998E-2</v>
      </c>
      <c r="F120" s="71">
        <v>6.4845920000000001E-2</v>
      </c>
      <c r="G120" s="71">
        <v>6.9212316999999995E-2</v>
      </c>
      <c r="H120" s="71">
        <v>7.5882077000000006E-2</v>
      </c>
      <c r="I120" s="71">
        <v>8.0676198000000005E-2</v>
      </c>
      <c r="J120" s="71">
        <v>8.4010242999999998E-2</v>
      </c>
      <c r="K120" s="71">
        <v>8.6377977999999994E-2</v>
      </c>
      <c r="L120" s="71">
        <v>-7.1444107000000007E-2</v>
      </c>
      <c r="M120" s="71">
        <v>-6.6602162000000006E-2</v>
      </c>
      <c r="N120" s="71">
        <v>-7.4699346999999999E-2</v>
      </c>
      <c r="O120" s="71">
        <v>-7.7501520000000004E-2</v>
      </c>
      <c r="P120" s="71">
        <v>-7.4110517000000001E-2</v>
      </c>
      <c r="Q120" s="71">
        <v>-6.4280169999999998E-2</v>
      </c>
      <c r="R120" s="71">
        <v>-5.7788675999999997E-2</v>
      </c>
      <c r="S120" s="71">
        <v>0.21583127199999999</v>
      </c>
      <c r="T120" s="71">
        <v>0.21317304100000001</v>
      </c>
      <c r="U120" s="71">
        <v>0.23474242200000001</v>
      </c>
      <c r="V120" s="71">
        <v>0.256680564</v>
      </c>
      <c r="W120" s="71">
        <v>0.25928738099999998</v>
      </c>
      <c r="X120" s="71">
        <v>0.25637505300000002</v>
      </c>
      <c r="Y120" s="71">
        <v>0.25092426499999998</v>
      </c>
      <c r="Z120" s="71">
        <v>-3.7178017000000001E-2</v>
      </c>
      <c r="AA120" s="71">
        <v>-4.1326153999999997E-2</v>
      </c>
      <c r="AB120" s="71">
        <v>-5.4547243000000002E-2</v>
      </c>
      <c r="AC120" s="71">
        <v>-6.1614738000000002E-2</v>
      </c>
      <c r="AD120" s="71">
        <v>-5.8392469000000002E-2</v>
      </c>
      <c r="AE120" s="71">
        <v>-5.3844214000000001E-2</v>
      </c>
      <c r="AF120" s="71">
        <v>-4.2326968E-2</v>
      </c>
      <c r="AG120" s="71">
        <v>0.17392832599999999</v>
      </c>
      <c r="AH120" s="71">
        <v>0.18277644100000001</v>
      </c>
      <c r="AI120" s="71">
        <v>0.209171939</v>
      </c>
      <c r="AJ120" s="71">
        <v>0.23352574500000001</v>
      </c>
      <c r="AK120" s="71">
        <v>0.24028444800000001</v>
      </c>
      <c r="AL120" s="71">
        <v>0.24194999</v>
      </c>
      <c r="AM120" s="71">
        <v>0.23238022799999999</v>
      </c>
      <c r="AN120" s="71">
        <v>0.306573176</v>
      </c>
      <c r="AO120" s="71">
        <v>-1.9708485000000001E-2</v>
      </c>
      <c r="AP120" s="71">
        <v>0.32614652599999999</v>
      </c>
    </row>
    <row r="121" spans="1:42" x14ac:dyDescent="0.2">
      <c r="A121" t="s">
        <v>254</v>
      </c>
      <c r="B121" t="s">
        <v>129</v>
      </c>
      <c r="C121" t="s">
        <v>171</v>
      </c>
      <c r="D121" t="s">
        <v>159</v>
      </c>
      <c r="E121" s="71">
        <v>4.0099382000000003E-2</v>
      </c>
      <c r="F121" s="71">
        <v>4.2839766000000001E-2</v>
      </c>
      <c r="G121" s="71">
        <v>4.9157976999999999E-2</v>
      </c>
      <c r="H121" s="71">
        <v>5.7613134000000003E-2</v>
      </c>
      <c r="I121" s="71">
        <v>6.3071250999999995E-2</v>
      </c>
      <c r="J121" s="71">
        <v>6.6652059999999999E-2</v>
      </c>
      <c r="K121" s="71">
        <v>6.9121717999999999E-2</v>
      </c>
      <c r="L121" s="71">
        <v>-8.7779366999999997E-2</v>
      </c>
      <c r="M121" s="71">
        <v>-8.5308802000000003E-2</v>
      </c>
      <c r="N121" s="71">
        <v>-8.8215392000000004E-2</v>
      </c>
      <c r="O121" s="71">
        <v>-8.9584552999999997E-2</v>
      </c>
      <c r="P121" s="71">
        <v>-8.3183334999999997E-2</v>
      </c>
      <c r="Q121" s="71">
        <v>-7.4736654999999999E-2</v>
      </c>
      <c r="R121" s="71">
        <v>-7.0422003999999996E-2</v>
      </c>
      <c r="S121" s="71">
        <v>0.188156299</v>
      </c>
      <c r="T121" s="71">
        <v>0.18829241699999999</v>
      </c>
      <c r="U121" s="71">
        <v>0.20727730699999999</v>
      </c>
      <c r="V121" s="71">
        <v>0.22847427200000001</v>
      </c>
      <c r="W121" s="71">
        <v>0.232713277</v>
      </c>
      <c r="X121" s="71">
        <v>0.228141387</v>
      </c>
      <c r="Y121" s="71">
        <v>0.22844759100000001</v>
      </c>
      <c r="Z121" s="71">
        <v>-5.1748587999999998E-2</v>
      </c>
      <c r="AA121" s="71">
        <v>-5.7739199999999997E-2</v>
      </c>
      <c r="AB121" s="71">
        <v>-7.2109279999999998E-2</v>
      </c>
      <c r="AC121" s="71">
        <v>-8.3819899000000003E-2</v>
      </c>
      <c r="AD121" s="71">
        <v>-8.0042341000000003E-2</v>
      </c>
      <c r="AE121" s="71">
        <v>-7.4192907000000002E-2</v>
      </c>
      <c r="AF121" s="71">
        <v>-7.2678290000000006E-2</v>
      </c>
      <c r="AG121" s="71">
        <v>0.14083946</v>
      </c>
      <c r="AH121" s="71">
        <v>0.154150659</v>
      </c>
      <c r="AI121" s="71">
        <v>0.18627033300000001</v>
      </c>
      <c r="AJ121" s="71">
        <v>0.220876515</v>
      </c>
      <c r="AK121" s="71">
        <v>0.22844605900000001</v>
      </c>
      <c r="AL121" s="71">
        <v>0.22892225399999999</v>
      </c>
      <c r="AM121" s="71">
        <v>0.23260344499999999</v>
      </c>
      <c r="AN121" s="71">
        <v>0.292504559</v>
      </c>
      <c r="AO121" s="71">
        <v>-9.0322843E-2</v>
      </c>
      <c r="AP121" s="71">
        <v>0.29333140800000002</v>
      </c>
    </row>
    <row r="122" spans="1:42" x14ac:dyDescent="0.2">
      <c r="A122" t="s">
        <v>214</v>
      </c>
      <c r="B122" t="s">
        <v>129</v>
      </c>
      <c r="C122" t="s">
        <v>171</v>
      </c>
      <c r="D122" t="s">
        <v>159</v>
      </c>
      <c r="E122" s="71">
        <v>5.5602074000000001E-2</v>
      </c>
      <c r="F122" s="71">
        <v>5.6361079000000001E-2</v>
      </c>
      <c r="G122" s="71">
        <v>5.8228135E-2</v>
      </c>
      <c r="H122" s="71">
        <v>6.0965895999999999E-2</v>
      </c>
      <c r="I122" s="71">
        <v>6.2896966999999998E-2</v>
      </c>
      <c r="J122" s="71">
        <v>6.4239502000000004E-2</v>
      </c>
      <c r="K122" s="71">
        <v>6.5197944999999993E-2</v>
      </c>
      <c r="L122" s="71">
        <v>-7.6820870999999999E-2</v>
      </c>
      <c r="M122" s="71">
        <v>-7.6097500999999998E-2</v>
      </c>
      <c r="N122" s="71">
        <v>-7.9789202000000004E-2</v>
      </c>
      <c r="O122" s="71">
        <v>-8.7003785E-2</v>
      </c>
      <c r="P122" s="71">
        <v>-8.5998011999999999E-2</v>
      </c>
      <c r="Q122" s="71">
        <v>-8.3586427000000005E-2</v>
      </c>
      <c r="R122" s="71">
        <v>-7.8496617000000005E-2</v>
      </c>
      <c r="S122" s="71">
        <v>0.20961236699999999</v>
      </c>
      <c r="T122" s="71">
        <v>0.205943617</v>
      </c>
      <c r="U122" s="71">
        <v>0.218626973</v>
      </c>
      <c r="V122" s="71">
        <v>0.23083870200000001</v>
      </c>
      <c r="W122" s="71">
        <v>0.235839302</v>
      </c>
      <c r="X122" s="71">
        <v>0.234016534</v>
      </c>
      <c r="Y122" s="71">
        <v>0.22979988800000001</v>
      </c>
      <c r="Z122" s="71">
        <v>-3.5470640999999997E-2</v>
      </c>
      <c r="AA122" s="71">
        <v>-4.3494478000000003E-2</v>
      </c>
      <c r="AB122" s="71">
        <v>-6.0945149999999997E-2</v>
      </c>
      <c r="AC122" s="71">
        <v>-7.3895986999999996E-2</v>
      </c>
      <c r="AD122" s="71">
        <v>-7.1963225000000006E-2</v>
      </c>
      <c r="AE122" s="71">
        <v>-7.1848142000000004E-2</v>
      </c>
      <c r="AF122" s="71">
        <v>-6.3499718999999996E-2</v>
      </c>
      <c r="AG122" s="71">
        <v>0.15530880599999999</v>
      </c>
      <c r="AH122" s="71">
        <v>0.166674031</v>
      </c>
      <c r="AI122" s="71">
        <v>0.192554314</v>
      </c>
      <c r="AJ122" s="71">
        <v>0.21548893499999999</v>
      </c>
      <c r="AK122" s="71">
        <v>0.21737225299999999</v>
      </c>
      <c r="AL122" s="71">
        <v>0.22029481400000001</v>
      </c>
      <c r="AM122" s="71">
        <v>0.21159388800000001</v>
      </c>
      <c r="AN122" s="71">
        <v>0.31253080599999999</v>
      </c>
      <c r="AO122" s="71">
        <v>-4.6956494000000001E-2</v>
      </c>
      <c r="AP122" s="71">
        <v>0.38355008200000001</v>
      </c>
    </row>
    <row r="123" spans="1:42" x14ac:dyDescent="0.2">
      <c r="A123" t="s">
        <v>164</v>
      </c>
      <c r="B123" t="s">
        <v>129</v>
      </c>
      <c r="C123" t="s">
        <v>171</v>
      </c>
      <c r="D123" t="s">
        <v>159</v>
      </c>
      <c r="E123" s="71">
        <v>3.4573554999999999E-2</v>
      </c>
      <c r="F123" s="71">
        <v>3.6357880000000002E-2</v>
      </c>
      <c r="G123" s="71">
        <v>4.0751337999999998E-2</v>
      </c>
      <c r="H123" s="71">
        <v>4.7202228999999998E-2</v>
      </c>
      <c r="I123" s="71">
        <v>5.1758765999999998E-2</v>
      </c>
      <c r="J123" s="71">
        <v>5.4929256000000003E-2</v>
      </c>
      <c r="K123" s="71">
        <v>5.7194591000000003E-2</v>
      </c>
      <c r="L123" s="71">
        <v>-9.5938999999999997E-2</v>
      </c>
      <c r="M123" s="71">
        <v>-8.8804630999999995E-2</v>
      </c>
      <c r="N123" s="71">
        <v>-9.8023585999999996E-2</v>
      </c>
      <c r="O123" s="71">
        <v>-0.100812135</v>
      </c>
      <c r="P123" s="71">
        <v>-9.7016757999999995E-2</v>
      </c>
      <c r="Q123" s="71">
        <v>-8.8845746000000003E-2</v>
      </c>
      <c r="R123" s="71">
        <v>-8.1755842999999995E-2</v>
      </c>
      <c r="S123" s="71">
        <v>0.18242277400000001</v>
      </c>
      <c r="T123" s="71">
        <v>0.181444576</v>
      </c>
      <c r="U123" s="71">
        <v>0.19756905699999999</v>
      </c>
      <c r="V123" s="71">
        <v>0.21951859500000001</v>
      </c>
      <c r="W123" s="71">
        <v>0.223766305</v>
      </c>
      <c r="X123" s="71">
        <v>0.219463889</v>
      </c>
      <c r="Y123" s="71">
        <v>0.21622428199999999</v>
      </c>
      <c r="Z123" s="71">
        <v>-5.8950362999999999E-2</v>
      </c>
      <c r="AA123" s="71">
        <v>-6.5655899000000004E-2</v>
      </c>
      <c r="AB123" s="71">
        <v>-7.7043770999999997E-2</v>
      </c>
      <c r="AC123" s="71">
        <v>-8.7975383000000004E-2</v>
      </c>
      <c r="AD123" s="71">
        <v>-8.8166376000000005E-2</v>
      </c>
      <c r="AE123" s="71">
        <v>-8.0841961000000004E-2</v>
      </c>
      <c r="AF123" s="71">
        <v>-7.6812582000000004E-2</v>
      </c>
      <c r="AG123" s="71">
        <v>0.13742623400000001</v>
      </c>
      <c r="AH123" s="71">
        <v>0.14954250699999999</v>
      </c>
      <c r="AI123" s="71">
        <v>0.17360879400000001</v>
      </c>
      <c r="AJ123" s="71">
        <v>0.202437533</v>
      </c>
      <c r="AK123" s="71">
        <v>0.21317354299999999</v>
      </c>
      <c r="AL123" s="71">
        <v>0.210769611</v>
      </c>
      <c r="AM123" s="71">
        <v>0.21066549900000001</v>
      </c>
      <c r="AN123" s="71">
        <v>0.30271021199999998</v>
      </c>
      <c r="AO123" s="71">
        <v>-7.8128459999999997E-2</v>
      </c>
      <c r="AP123" s="71">
        <v>0.31609779300000002</v>
      </c>
    </row>
    <row r="124" spans="1:42" x14ac:dyDescent="0.2">
      <c r="A124" t="s">
        <v>345</v>
      </c>
      <c r="B124" t="s">
        <v>129</v>
      </c>
      <c r="C124" t="s">
        <v>171</v>
      </c>
      <c r="D124" t="s">
        <v>159</v>
      </c>
      <c r="E124" s="71">
        <v>2.9519199999999999E-2</v>
      </c>
      <c r="F124" s="71">
        <v>3.3103703999999998E-2</v>
      </c>
      <c r="G124" s="71">
        <v>4.1708111999999999E-2</v>
      </c>
      <c r="H124" s="71">
        <v>5.3974986000000003E-2</v>
      </c>
      <c r="I124" s="71">
        <v>6.2379956E-2</v>
      </c>
      <c r="J124" s="71">
        <v>6.8094969000000005E-2</v>
      </c>
      <c r="K124" s="71">
        <v>7.2113991000000002E-2</v>
      </c>
      <c r="L124" s="71">
        <v>-0.10008771499999999</v>
      </c>
      <c r="M124" s="71">
        <v>-9.0647326E-2</v>
      </c>
      <c r="N124" s="71">
        <v>-9.3783153999999994E-2</v>
      </c>
      <c r="O124" s="71">
        <v>-9.2283130000000005E-2</v>
      </c>
      <c r="P124" s="71">
        <v>-8.5105683000000001E-2</v>
      </c>
      <c r="Q124" s="71">
        <v>-7.6512258999999999E-2</v>
      </c>
      <c r="R124" s="71">
        <v>-6.6839316999999995E-2</v>
      </c>
      <c r="S124" s="71">
        <v>0.17688943400000001</v>
      </c>
      <c r="T124" s="71">
        <v>0.175184542</v>
      </c>
      <c r="U124" s="71">
        <v>0.19810388000000001</v>
      </c>
      <c r="V124" s="71">
        <v>0.22684288599999999</v>
      </c>
      <c r="W124" s="71">
        <v>0.23392962</v>
      </c>
      <c r="X124" s="71">
        <v>0.23507778200000001</v>
      </c>
      <c r="Y124" s="71">
        <v>0.23241680300000001</v>
      </c>
      <c r="Z124" s="71">
        <v>-6.5459579000000004E-2</v>
      </c>
      <c r="AA124" s="71">
        <v>-6.8548086999999994E-2</v>
      </c>
      <c r="AB124" s="71">
        <v>-7.7125129000000001E-2</v>
      </c>
      <c r="AC124" s="71">
        <v>-7.8487982999999997E-2</v>
      </c>
      <c r="AD124" s="71">
        <v>-7.0425153000000004E-2</v>
      </c>
      <c r="AE124" s="71">
        <v>-6.4156059000000001E-2</v>
      </c>
      <c r="AF124" s="71">
        <v>-5.9584867999999999E-2</v>
      </c>
      <c r="AG124" s="71">
        <v>0.134184783</v>
      </c>
      <c r="AH124" s="71">
        <v>0.14588153400000001</v>
      </c>
      <c r="AI124" s="71">
        <v>0.17587137999999999</v>
      </c>
      <c r="AJ124" s="71">
        <v>0.20550095800000001</v>
      </c>
      <c r="AK124" s="71">
        <v>0.214175898</v>
      </c>
      <c r="AL124" s="71">
        <v>0.219049507</v>
      </c>
      <c r="AM124" s="71">
        <v>0.22226813600000001</v>
      </c>
      <c r="AN124" s="71">
        <v>0.30050943699999999</v>
      </c>
      <c r="AO124" s="71">
        <v>-6.3031557000000002E-2</v>
      </c>
      <c r="AP124" s="71">
        <v>0.309448114</v>
      </c>
    </row>
    <row r="125" spans="1:42" x14ac:dyDescent="0.2">
      <c r="A125" t="s">
        <v>224</v>
      </c>
      <c r="B125" t="s">
        <v>129</v>
      </c>
      <c r="C125" t="s">
        <v>237</v>
      </c>
      <c r="D125" t="s">
        <v>236</v>
      </c>
      <c r="E125" s="71">
        <v>4.5532346000000001E-2</v>
      </c>
      <c r="F125" s="71">
        <v>4.6959638999999997E-2</v>
      </c>
      <c r="G125" s="71">
        <v>5.0287008000000001E-2</v>
      </c>
      <c r="H125" s="71">
        <v>5.4734707E-2</v>
      </c>
      <c r="I125" s="71">
        <v>5.752492E-2</v>
      </c>
      <c r="J125" s="71">
        <v>5.9270382000000003E-2</v>
      </c>
      <c r="K125" s="71">
        <v>6.0413360999999999E-2</v>
      </c>
      <c r="L125" s="71">
        <v>-8.9288370000000002E-3</v>
      </c>
      <c r="M125" s="71">
        <v>-6.8642900000000001E-4</v>
      </c>
      <c r="N125" s="71">
        <v>8.1090250000000006E-3</v>
      </c>
      <c r="O125" s="71">
        <v>1.7118491E-2</v>
      </c>
      <c r="P125" s="71">
        <v>2.2734684000000002E-2</v>
      </c>
      <c r="Q125" s="71">
        <v>2.6957379E-2</v>
      </c>
      <c r="R125" s="71">
        <v>3.0178396E-2</v>
      </c>
      <c r="S125" s="71">
        <v>0.102912686</v>
      </c>
      <c r="T125" s="71">
        <v>9.6888447000000003E-2</v>
      </c>
      <c r="U125" s="71">
        <v>9.4531614E-2</v>
      </c>
      <c r="V125" s="71">
        <v>9.3772666000000005E-2</v>
      </c>
      <c r="W125" s="71">
        <v>9.3417271999999996E-2</v>
      </c>
      <c r="X125" s="71">
        <v>9.2370165000000004E-2</v>
      </c>
      <c r="Y125" s="71">
        <v>9.1050539E-2</v>
      </c>
      <c r="Z125" s="71">
        <v>2.9049454999999998E-2</v>
      </c>
      <c r="AA125" s="71">
        <v>2.988008E-2</v>
      </c>
      <c r="AB125" s="71">
        <v>3.0901759000000001E-2</v>
      </c>
      <c r="AC125" s="71">
        <v>3.3300359000000002E-2</v>
      </c>
      <c r="AD125" s="71">
        <v>3.5580590000000002E-2</v>
      </c>
      <c r="AE125" s="71">
        <v>3.7984070000000002E-2</v>
      </c>
      <c r="AF125" s="71">
        <v>4.0249607E-2</v>
      </c>
      <c r="AG125" s="71">
        <v>6.2279669000000003E-2</v>
      </c>
      <c r="AH125" s="71">
        <v>6.4322797000000001E-2</v>
      </c>
      <c r="AI125" s="71">
        <v>7.0037218999999998E-2</v>
      </c>
      <c r="AJ125" s="71">
        <v>7.6614090999999995E-2</v>
      </c>
      <c r="AK125" s="71">
        <v>7.9934663000000003E-2</v>
      </c>
      <c r="AL125" s="71">
        <v>8.0993466E-2</v>
      </c>
      <c r="AM125" s="71">
        <v>8.0968211999999998E-2</v>
      </c>
      <c r="AN125" s="71">
        <v>0.17161684899999999</v>
      </c>
      <c r="AO125" s="71">
        <v>-0.13027122999999999</v>
      </c>
      <c r="AP125" s="71">
        <v>1</v>
      </c>
    </row>
    <row r="126" spans="1:42" x14ac:dyDescent="0.2">
      <c r="A126" t="s">
        <v>240</v>
      </c>
      <c r="B126" t="s">
        <v>129</v>
      </c>
      <c r="C126" t="s">
        <v>253</v>
      </c>
      <c r="D126" t="s">
        <v>252</v>
      </c>
      <c r="E126" s="71">
        <v>3.0418634E-2</v>
      </c>
      <c r="F126" s="71">
        <v>3.2379508000000001E-2</v>
      </c>
      <c r="G126" s="71">
        <v>3.7114620000000001E-2</v>
      </c>
      <c r="H126" s="71">
        <v>4.3858528000000001E-2</v>
      </c>
      <c r="I126" s="71">
        <v>4.8464775000000002E-2</v>
      </c>
      <c r="J126" s="71">
        <v>5.1588534999999998E-2</v>
      </c>
      <c r="K126" s="71">
        <v>5.3781151999999999E-2</v>
      </c>
      <c r="L126" s="71">
        <v>-2.4584373999999999E-2</v>
      </c>
      <c r="M126" s="71">
        <v>-1.5384771E-2</v>
      </c>
      <c r="N126" s="71">
        <v>-5.0473890000000002E-3</v>
      </c>
      <c r="O126" s="71">
        <v>5.4953329999999998E-3</v>
      </c>
      <c r="P126" s="71">
        <v>1.2914439999999999E-2</v>
      </c>
      <c r="Q126" s="71">
        <v>1.6645199999999999E-2</v>
      </c>
      <c r="R126" s="71">
        <v>2.0772572E-2</v>
      </c>
      <c r="S126" s="71">
        <v>8.7667284999999998E-2</v>
      </c>
      <c r="T126" s="71">
        <v>8.220276E-2</v>
      </c>
      <c r="U126" s="71">
        <v>8.1287209999999999E-2</v>
      </c>
      <c r="V126" s="71">
        <v>8.3477554999999995E-2</v>
      </c>
      <c r="W126" s="71">
        <v>8.5704060999999998E-2</v>
      </c>
      <c r="X126" s="71">
        <v>8.7199606999999998E-2</v>
      </c>
      <c r="Y126" s="71">
        <v>8.8171604000000001E-2</v>
      </c>
      <c r="Z126" s="71">
        <v>1.2687597E-2</v>
      </c>
      <c r="AA126" s="71">
        <v>1.3580635000000001E-2</v>
      </c>
      <c r="AB126" s="71">
        <v>1.7556463000000001E-2</v>
      </c>
      <c r="AC126" s="71">
        <v>2.1015257999999998E-2</v>
      </c>
      <c r="AD126" s="71">
        <v>2.4432624999999999E-2</v>
      </c>
      <c r="AE126" s="71">
        <v>2.7127353E-2</v>
      </c>
      <c r="AF126" s="71">
        <v>2.9259012000000001E-2</v>
      </c>
      <c r="AG126" s="71">
        <v>4.8460525999999997E-2</v>
      </c>
      <c r="AH126" s="71">
        <v>5.1527626999999999E-2</v>
      </c>
      <c r="AI126" s="71">
        <v>5.7048899E-2</v>
      </c>
      <c r="AJ126" s="71">
        <v>6.7213202E-2</v>
      </c>
      <c r="AK126" s="71">
        <v>7.3060794999999998E-2</v>
      </c>
      <c r="AL126" s="71">
        <v>7.6632434999999999E-2</v>
      </c>
      <c r="AM126" s="71">
        <v>7.8887576000000001E-2</v>
      </c>
      <c r="AN126" s="71">
        <v>0.17180419799999999</v>
      </c>
      <c r="AO126" s="71">
        <v>-0.17241362800000001</v>
      </c>
      <c r="AP126" s="71">
        <v>1</v>
      </c>
    </row>
    <row r="127" spans="1:42" x14ac:dyDescent="0.2">
      <c r="A127" t="s">
        <v>200</v>
      </c>
      <c r="B127" t="s">
        <v>129</v>
      </c>
      <c r="C127" t="s">
        <v>213</v>
      </c>
      <c r="D127" t="s">
        <v>212</v>
      </c>
      <c r="E127" s="71">
        <v>2.0809174E-2</v>
      </c>
      <c r="F127" s="71">
        <v>2.3293376000000001E-2</v>
      </c>
      <c r="G127" s="71">
        <v>2.9113412000000002E-2</v>
      </c>
      <c r="H127" s="71">
        <v>3.7158847000000002E-2</v>
      </c>
      <c r="I127" s="71">
        <v>4.2552829E-2</v>
      </c>
      <c r="J127" s="71">
        <v>4.6183347999999999E-2</v>
      </c>
      <c r="K127" s="71">
        <v>4.8724294000000001E-2</v>
      </c>
      <c r="L127" s="71">
        <v>-3.3940893999999999E-2</v>
      </c>
      <c r="M127" s="71">
        <v>-2.3593899000000002E-2</v>
      </c>
      <c r="N127" s="71">
        <v>-1.282295E-2</v>
      </c>
      <c r="O127" s="71">
        <v>-5.4957399999999997E-5</v>
      </c>
      <c r="P127" s="71">
        <v>9.0710559999999992E-3</v>
      </c>
      <c r="Q127" s="71">
        <v>1.3949858000000001E-2</v>
      </c>
      <c r="R127" s="71">
        <v>1.8552613999999999E-2</v>
      </c>
      <c r="S127" s="71">
        <v>7.9000437000000007E-2</v>
      </c>
      <c r="T127" s="71">
        <v>7.2557592000000004E-2</v>
      </c>
      <c r="U127" s="71">
        <v>7.3093701999999997E-2</v>
      </c>
      <c r="V127" s="71">
        <v>7.5544144999999993E-2</v>
      </c>
      <c r="W127" s="71">
        <v>7.7639949E-2</v>
      </c>
      <c r="X127" s="71">
        <v>7.8700561000000002E-2</v>
      </c>
      <c r="Y127" s="71">
        <v>7.9099043999999993E-2</v>
      </c>
      <c r="Z127" s="71">
        <v>4.045809E-3</v>
      </c>
      <c r="AA127" s="71">
        <v>5.9149909999999997E-3</v>
      </c>
      <c r="AB127" s="71">
        <v>8.8811059999999997E-3</v>
      </c>
      <c r="AC127" s="71">
        <v>1.4622229E-2</v>
      </c>
      <c r="AD127" s="71">
        <v>2.0384348E-2</v>
      </c>
      <c r="AE127" s="71">
        <v>2.5043716000000001E-2</v>
      </c>
      <c r="AF127" s="71">
        <v>2.8990980999999999E-2</v>
      </c>
      <c r="AG127" s="71">
        <v>3.7830468999999999E-2</v>
      </c>
      <c r="AH127" s="71">
        <v>4.0951100999999997E-2</v>
      </c>
      <c r="AI127" s="71">
        <v>4.9733425999999997E-2</v>
      </c>
      <c r="AJ127" s="71">
        <v>6.0182370999999998E-2</v>
      </c>
      <c r="AK127" s="71">
        <v>6.5192026E-2</v>
      </c>
      <c r="AL127" s="71">
        <v>6.7750273999999999E-2</v>
      </c>
      <c r="AM127" s="71">
        <v>6.8828513999999993E-2</v>
      </c>
      <c r="AN127" s="71">
        <v>0.17311953499999999</v>
      </c>
      <c r="AO127" s="71">
        <v>-9.3066871999999995E-2</v>
      </c>
      <c r="AP127" s="71">
        <v>1</v>
      </c>
    </row>
    <row r="128" spans="1:42" x14ac:dyDescent="0.2">
      <c r="A128" t="s">
        <v>103</v>
      </c>
      <c r="B128" t="s">
        <v>112</v>
      </c>
      <c r="C128" t="s">
        <v>126</v>
      </c>
      <c r="D128" t="s">
        <v>125</v>
      </c>
      <c r="E128" s="71">
        <v>6.0481668000000002E-2</v>
      </c>
      <c r="F128" s="71">
        <v>6.0891031999999998E-2</v>
      </c>
      <c r="G128" s="71">
        <v>6.2047243000000002E-2</v>
      </c>
      <c r="H128" s="71">
        <v>6.3989519999999994E-2</v>
      </c>
      <c r="I128" s="71">
        <v>6.5481185999999997E-2</v>
      </c>
      <c r="J128" s="71">
        <v>6.6552997000000003E-2</v>
      </c>
      <c r="K128" s="71">
        <v>6.7326069000000002E-2</v>
      </c>
      <c r="L128" s="71">
        <v>3.7249840000000002E-3</v>
      </c>
      <c r="M128" s="71">
        <v>1.1830388000000001E-2</v>
      </c>
      <c r="N128" s="71">
        <v>1.8844349999999999E-2</v>
      </c>
      <c r="O128" s="71">
        <v>2.6136916999999999E-2</v>
      </c>
      <c r="P128" s="71">
        <v>3.1050178000000001E-2</v>
      </c>
      <c r="Q128" s="71">
        <v>3.5289545999999998E-2</v>
      </c>
      <c r="R128" s="71">
        <v>3.8057401999999997E-2</v>
      </c>
      <c r="S128" s="71">
        <v>0.120186373</v>
      </c>
      <c r="T128" s="71">
        <v>0.112036519</v>
      </c>
      <c r="U128" s="71">
        <v>0.107849088</v>
      </c>
      <c r="V128" s="71">
        <v>0.103636861</v>
      </c>
      <c r="W128" s="71">
        <v>0.100968724</v>
      </c>
      <c r="X128" s="71">
        <v>9.8592111999999996E-2</v>
      </c>
      <c r="Y128" s="71">
        <v>9.7497535999999996E-2</v>
      </c>
      <c r="Z128" s="71">
        <v>3.6871229999999998E-2</v>
      </c>
      <c r="AA128" s="71">
        <v>3.7639420999999999E-2</v>
      </c>
      <c r="AB128" s="71">
        <v>3.8628821000000001E-2</v>
      </c>
      <c r="AC128" s="71">
        <v>4.1801457E-2</v>
      </c>
      <c r="AD128" s="71">
        <v>4.4384711E-2</v>
      </c>
      <c r="AE128" s="71">
        <v>4.6299819999999998E-2</v>
      </c>
      <c r="AF128" s="71">
        <v>4.8245181999999998E-2</v>
      </c>
      <c r="AG128" s="71">
        <v>8.4629988000000003E-2</v>
      </c>
      <c r="AH128" s="71">
        <v>8.4663971000000005E-2</v>
      </c>
      <c r="AI128" s="71">
        <v>8.5993878999999995E-2</v>
      </c>
      <c r="AJ128" s="71">
        <v>8.6650320000000003E-2</v>
      </c>
      <c r="AK128" s="71">
        <v>8.7003763999999997E-2</v>
      </c>
      <c r="AL128" s="71">
        <v>8.7198177000000002E-2</v>
      </c>
      <c r="AM128" s="71">
        <v>8.6754525999999998E-2</v>
      </c>
      <c r="AN128" s="71">
        <v>0.16003262300000001</v>
      </c>
      <c r="AO128" s="71">
        <v>0.20759216599999999</v>
      </c>
      <c r="AP128" s="71">
        <v>0.46224641999999999</v>
      </c>
    </row>
    <row r="129" spans="1:42" x14ac:dyDescent="0.2">
      <c r="A129" t="s">
        <v>138</v>
      </c>
      <c r="B129" t="s">
        <v>112</v>
      </c>
      <c r="C129" t="s">
        <v>361</v>
      </c>
      <c r="D129" t="s">
        <v>152</v>
      </c>
      <c r="E129" s="71">
        <v>4.0606021999999999E-2</v>
      </c>
      <c r="F129" s="71">
        <v>4.0628790999999997E-2</v>
      </c>
      <c r="G129" s="75">
        <v>4.0627956E-2</v>
      </c>
      <c r="H129" s="71">
        <v>4.0492414999999997E-2</v>
      </c>
      <c r="I129" s="71">
        <v>4.0286303000000002E-2</v>
      </c>
      <c r="J129" s="71">
        <v>4.0079354999999997E-2</v>
      </c>
      <c r="K129" s="71">
        <v>3.9896607000000001E-2</v>
      </c>
      <c r="L129" s="71">
        <v>2.3599767000000001E-2</v>
      </c>
      <c r="M129" s="71">
        <v>2.5518921999999999E-2</v>
      </c>
      <c r="N129" s="71">
        <v>2.5653638999999999E-2</v>
      </c>
      <c r="O129" s="71">
        <v>2.4999519000000001E-2</v>
      </c>
      <c r="P129" s="71">
        <v>2.4502983999999998E-2</v>
      </c>
      <c r="Q129" s="71">
        <v>2.4497201999999999E-2</v>
      </c>
      <c r="R129" s="71">
        <v>2.4770894000000002E-2</v>
      </c>
      <c r="S129" s="71">
        <v>5.7826120000000002E-2</v>
      </c>
      <c r="T129" s="71">
        <v>5.6056664999999999E-2</v>
      </c>
      <c r="U129" s="71">
        <v>5.5804029999999998E-2</v>
      </c>
      <c r="V129" s="71">
        <v>5.6271368000000002E-2</v>
      </c>
      <c r="W129" s="71">
        <v>5.6314527000000003E-2</v>
      </c>
      <c r="X129" s="71">
        <v>5.5838969000000002E-2</v>
      </c>
      <c r="Y129" s="71">
        <v>5.5407014999999997E-2</v>
      </c>
      <c r="Z129" s="71">
        <v>3.3114563E-2</v>
      </c>
      <c r="AA129" s="71">
        <v>3.2280004000000001E-2</v>
      </c>
      <c r="AB129" s="71">
        <v>3.0357024E-2</v>
      </c>
      <c r="AC129" s="71">
        <v>2.7473728999999999E-2</v>
      </c>
      <c r="AD129" s="71">
        <v>2.6017438E-2</v>
      </c>
      <c r="AE129" s="71">
        <v>2.6237877E-2</v>
      </c>
      <c r="AF129" s="71">
        <v>2.6072838000000001E-2</v>
      </c>
      <c r="AG129" s="71">
        <v>4.8152289000000001E-2</v>
      </c>
      <c r="AH129" s="71">
        <v>4.9045221999999999E-2</v>
      </c>
      <c r="AI129" s="71">
        <v>5.1001495000000001E-2</v>
      </c>
      <c r="AJ129" s="71">
        <v>5.3676350999999997E-2</v>
      </c>
      <c r="AK129" s="71">
        <v>5.4753857000000003E-2</v>
      </c>
      <c r="AL129" s="71">
        <v>5.4107702000000001E-2</v>
      </c>
      <c r="AM129" s="71">
        <v>5.3906913000000001E-2</v>
      </c>
      <c r="AN129" s="71">
        <v>4.8182148000000001E-2</v>
      </c>
      <c r="AO129" s="71">
        <v>0.77842230300000004</v>
      </c>
      <c r="AP129" s="71">
        <v>-7.1895240999999999E-2</v>
      </c>
    </row>
    <row r="130" spans="1:42" x14ac:dyDescent="0.2">
      <c r="A130" t="s">
        <v>138</v>
      </c>
      <c r="B130" t="s">
        <v>112</v>
      </c>
      <c r="C130" t="s">
        <v>362</v>
      </c>
      <c r="D130" t="s">
        <v>151</v>
      </c>
      <c r="E130" s="71">
        <v>4.5063257000000002E-2</v>
      </c>
      <c r="F130" s="71">
        <v>4.4698477E-2</v>
      </c>
      <c r="G130" s="75">
        <v>4.3765783000000003E-2</v>
      </c>
      <c r="H130" s="71">
        <v>4.2311429999999997E-2</v>
      </c>
      <c r="I130" s="71">
        <v>4.1210651000000001E-2</v>
      </c>
      <c r="J130" s="71">
        <v>4.0399670999999998E-2</v>
      </c>
      <c r="K130" s="71">
        <v>3.9794325999999998E-2</v>
      </c>
      <c r="L130" s="71">
        <v>2.1125181E-2</v>
      </c>
      <c r="M130" s="71">
        <v>2.2614103E-2</v>
      </c>
      <c r="N130" s="71">
        <v>2.2267311000000001E-2</v>
      </c>
      <c r="O130" s="71">
        <v>2.1134052E-2</v>
      </c>
      <c r="P130" s="71">
        <v>2.0705819E-2</v>
      </c>
      <c r="Q130" s="71">
        <v>2.0426851999999999E-2</v>
      </c>
      <c r="R130" s="71">
        <v>2.0578457000000001E-2</v>
      </c>
      <c r="S130" s="71">
        <v>6.97348E-2</v>
      </c>
      <c r="T130" s="71">
        <v>6.7244089000000007E-2</v>
      </c>
      <c r="U130" s="71">
        <v>6.5285932000000005E-2</v>
      </c>
      <c r="V130" s="71">
        <v>6.3979051999999995E-2</v>
      </c>
      <c r="W130" s="71">
        <v>6.2288715000000001E-2</v>
      </c>
      <c r="X130" s="71">
        <v>6.0641683000000002E-2</v>
      </c>
      <c r="Y130" s="71">
        <v>5.9339649000000001E-2</v>
      </c>
      <c r="Z130" s="71">
        <v>2.7073116000000001E-2</v>
      </c>
      <c r="AA130" s="71">
        <v>2.7872849000000002E-2</v>
      </c>
      <c r="AB130" s="71">
        <v>2.6315844000000001E-2</v>
      </c>
      <c r="AC130" s="71">
        <v>2.3139652E-2</v>
      </c>
      <c r="AD130" s="71">
        <v>2.2180987999999999E-2</v>
      </c>
      <c r="AE130" s="71">
        <v>2.2233718999999999E-2</v>
      </c>
      <c r="AF130" s="71">
        <v>2.2010064999999999E-2</v>
      </c>
      <c r="AG130" s="71">
        <v>6.3369204999999998E-2</v>
      </c>
      <c r="AH130" s="71">
        <v>6.1800253999999999E-2</v>
      </c>
      <c r="AI130" s="71">
        <v>6.1513110000000003E-2</v>
      </c>
      <c r="AJ130" s="71">
        <v>6.1843154999999997E-2</v>
      </c>
      <c r="AK130" s="71">
        <v>6.0594864999999998E-2</v>
      </c>
      <c r="AL130" s="71">
        <v>5.8888650000000001E-2</v>
      </c>
      <c r="AM130" s="71">
        <v>5.7888466999999999E-2</v>
      </c>
      <c r="AN130" s="71">
        <v>5.3724719999999997E-2</v>
      </c>
      <c r="AO130" s="71">
        <v>0.739625635</v>
      </c>
      <c r="AP130" s="71">
        <v>-0.12992663400000001</v>
      </c>
    </row>
    <row r="131" spans="1:42" x14ac:dyDescent="0.2">
      <c r="A131" t="s">
        <v>138</v>
      </c>
      <c r="B131" t="s">
        <v>112</v>
      </c>
      <c r="C131" t="s">
        <v>356</v>
      </c>
      <c r="D131" t="s">
        <v>150</v>
      </c>
      <c r="E131" s="71">
        <v>3.7474155000000002E-2</v>
      </c>
      <c r="F131" s="71">
        <v>3.8258195000000002E-2</v>
      </c>
      <c r="G131" s="75">
        <v>4.0092467999999999E-2</v>
      </c>
      <c r="H131" s="71">
        <v>4.2561649999999999E-2</v>
      </c>
      <c r="I131" s="71">
        <v>4.4127702999999997E-2</v>
      </c>
      <c r="J131" s="71">
        <v>4.5119166000000002E-2</v>
      </c>
      <c r="K131" s="71">
        <v>4.577589E-2</v>
      </c>
      <c r="L131" s="71">
        <v>1.8705907000000001E-2</v>
      </c>
      <c r="M131" s="71">
        <v>2.1160721E-2</v>
      </c>
      <c r="N131" s="71">
        <v>2.3460247E-2</v>
      </c>
      <c r="O131" s="71">
        <v>2.5790233999999999E-2</v>
      </c>
      <c r="P131" s="71">
        <v>2.7340718E-2</v>
      </c>
      <c r="Q131" s="71">
        <v>2.8697760999999999E-2</v>
      </c>
      <c r="R131" s="71">
        <v>2.9779797E-2</v>
      </c>
      <c r="S131" s="71">
        <v>5.6732048E-2</v>
      </c>
      <c r="T131" s="71">
        <v>5.5458130000000001E-2</v>
      </c>
      <c r="U131" s="71">
        <v>5.6946307000000002E-2</v>
      </c>
      <c r="V131" s="71">
        <v>5.9655621999999998E-2</v>
      </c>
      <c r="W131" s="71">
        <v>6.1063236E-2</v>
      </c>
      <c r="X131" s="71">
        <v>6.1543483000000003E-2</v>
      </c>
      <c r="Y131" s="71">
        <v>6.1768310999999999E-2</v>
      </c>
      <c r="Z131" s="71">
        <v>3.0058695E-2</v>
      </c>
      <c r="AA131" s="71">
        <v>3.0102225999999999E-2</v>
      </c>
      <c r="AB131" s="71">
        <v>2.9824015999999998E-2</v>
      </c>
      <c r="AC131" s="71">
        <v>2.8989263000000001E-2</v>
      </c>
      <c r="AD131" s="71">
        <v>2.9945532E-2</v>
      </c>
      <c r="AE131" s="71">
        <v>3.0761178E-2</v>
      </c>
      <c r="AF131" s="71">
        <v>3.1668914999999999E-2</v>
      </c>
      <c r="AG131" s="71">
        <v>4.4943076999999998E-2</v>
      </c>
      <c r="AH131" s="71">
        <v>4.6478789E-2</v>
      </c>
      <c r="AI131" s="71">
        <v>5.0463398E-2</v>
      </c>
      <c r="AJ131" s="71">
        <v>5.6312964E-2</v>
      </c>
      <c r="AK131" s="71">
        <v>5.8505143000000003E-2</v>
      </c>
      <c r="AL131" s="71">
        <v>5.9677187999999999E-2</v>
      </c>
      <c r="AM131" s="71">
        <v>6.0075792000000003E-2</v>
      </c>
      <c r="AN131" s="71">
        <v>5.6393993000000003E-2</v>
      </c>
      <c r="AO131" s="71">
        <v>0.67547378300000005</v>
      </c>
      <c r="AP131" s="71">
        <v>0.22542145099999999</v>
      </c>
    </row>
    <row r="132" spans="1:42" x14ac:dyDescent="0.2">
      <c r="A132" t="s">
        <v>191</v>
      </c>
      <c r="B132" t="s">
        <v>112</v>
      </c>
      <c r="C132" t="s">
        <v>356</v>
      </c>
      <c r="D132" t="s">
        <v>150</v>
      </c>
      <c r="E132" s="71">
        <v>4.5201658999999998E-2</v>
      </c>
      <c r="F132" s="71">
        <v>4.6677469999999999E-2</v>
      </c>
      <c r="G132" s="71">
        <v>5.05023E-2</v>
      </c>
      <c r="H132" s="71">
        <v>5.6389927999999999E-2</v>
      </c>
      <c r="I132" s="71">
        <v>6.0643435000000002E-2</v>
      </c>
      <c r="J132" s="71">
        <v>6.3608170000000006E-2</v>
      </c>
      <c r="K132" s="71">
        <v>6.5715789999999996E-2</v>
      </c>
      <c r="L132" s="71">
        <v>6.0482970000000002E-3</v>
      </c>
      <c r="M132" s="71">
        <v>1.2182549000000001E-2</v>
      </c>
      <c r="N132" s="71">
        <v>1.9791824E-2</v>
      </c>
      <c r="O132" s="71">
        <v>2.8999009999999999E-2</v>
      </c>
      <c r="P132" s="71">
        <v>3.5719676999999998E-2</v>
      </c>
      <c r="Q132" s="71">
        <v>4.0232677000000001E-2</v>
      </c>
      <c r="R132" s="71">
        <v>4.4039949000000002E-2</v>
      </c>
      <c r="S132" s="71">
        <v>8.5426705000000006E-2</v>
      </c>
      <c r="T132" s="71">
        <v>8.1640647999999996E-2</v>
      </c>
      <c r="U132" s="71">
        <v>8.1411619000000005E-2</v>
      </c>
      <c r="V132" s="71">
        <v>8.4345787000000005E-2</v>
      </c>
      <c r="W132" s="71">
        <v>8.6296879000000007E-2</v>
      </c>
      <c r="X132" s="71">
        <v>8.7407272999999994E-2</v>
      </c>
      <c r="Y132" s="71">
        <v>8.7562027000000001E-2</v>
      </c>
      <c r="Z132" s="71">
        <v>2.7281791E-2</v>
      </c>
      <c r="AA132" s="71">
        <v>2.8797296999999999E-2</v>
      </c>
      <c r="AB132" s="71">
        <v>3.194611E-2</v>
      </c>
      <c r="AC132" s="71">
        <v>3.7635965E-2</v>
      </c>
      <c r="AD132" s="71">
        <v>4.3074609E-2</v>
      </c>
      <c r="AE132" s="71">
        <v>4.6641888999999999E-2</v>
      </c>
      <c r="AF132" s="71">
        <v>4.9570555000000002E-2</v>
      </c>
      <c r="AG132" s="71">
        <v>6.3434172999999996E-2</v>
      </c>
      <c r="AH132" s="71">
        <v>6.4868368999999995E-2</v>
      </c>
      <c r="AI132" s="71">
        <v>6.9392069000000001E-2</v>
      </c>
      <c r="AJ132" s="71">
        <v>7.5483000999999994E-2</v>
      </c>
      <c r="AK132" s="71">
        <v>7.8508313999999996E-2</v>
      </c>
      <c r="AL132" s="71">
        <v>8.0849578000000005E-2</v>
      </c>
      <c r="AM132" s="71">
        <v>8.2109462999999994E-2</v>
      </c>
      <c r="AN132" s="71">
        <v>0.11087590999999999</v>
      </c>
      <c r="AO132" s="71">
        <v>0.45404936899999998</v>
      </c>
      <c r="AP132" s="71">
        <v>0.19876785</v>
      </c>
    </row>
    <row r="133" spans="1:42" x14ac:dyDescent="0.2">
      <c r="A133" t="s">
        <v>138</v>
      </c>
      <c r="B133" t="s">
        <v>112</v>
      </c>
      <c r="C133" t="s">
        <v>363</v>
      </c>
      <c r="D133" t="s">
        <v>149</v>
      </c>
      <c r="E133" s="71">
        <v>2.5299907E-2</v>
      </c>
      <c r="F133" s="71">
        <v>2.7614831999999999E-2</v>
      </c>
      <c r="G133" s="75">
        <v>3.3153414999999999E-2</v>
      </c>
      <c r="H133" s="71">
        <v>4.0914893000000001E-2</v>
      </c>
      <c r="I133" s="71">
        <v>4.6105861999999997E-2</v>
      </c>
      <c r="J133" s="71">
        <v>4.9559711999999999E-2</v>
      </c>
      <c r="K133" s="71">
        <v>5.1946402000000003E-2</v>
      </c>
      <c r="L133" s="71">
        <v>-1.1217003999999999E-2</v>
      </c>
      <c r="M133" s="71">
        <v>-5.8424549999999999E-3</v>
      </c>
      <c r="N133" s="71">
        <v>8.8514400000000003E-4</v>
      </c>
      <c r="O133" s="71">
        <v>9.0929449999999998E-3</v>
      </c>
      <c r="P133" s="71">
        <v>1.5071942E-2</v>
      </c>
      <c r="Q133" s="71">
        <v>1.9232868E-2</v>
      </c>
      <c r="R133" s="71">
        <v>2.3131558E-2</v>
      </c>
      <c r="S133" s="71">
        <v>6.3206954999999995E-2</v>
      </c>
      <c r="T133" s="71">
        <v>6.2656375E-2</v>
      </c>
      <c r="U133" s="71">
        <v>6.6536953999999995E-2</v>
      </c>
      <c r="V133" s="71">
        <v>7.4259120999999997E-2</v>
      </c>
      <c r="W133" s="71">
        <v>7.8187867999999994E-2</v>
      </c>
      <c r="X133" s="71">
        <v>8.0415592999999994E-2</v>
      </c>
      <c r="Y133" s="71">
        <v>8.1578972999999999E-2</v>
      </c>
      <c r="Z133" s="71">
        <v>7.3796529999999999E-3</v>
      </c>
      <c r="AA133" s="71">
        <v>8.5797849999999995E-3</v>
      </c>
      <c r="AB133" s="71">
        <v>1.0651071E-2</v>
      </c>
      <c r="AC133" s="71">
        <v>1.4843616E-2</v>
      </c>
      <c r="AD133" s="71">
        <v>2.0107929E-2</v>
      </c>
      <c r="AE133" s="71">
        <v>2.3630577999999999E-2</v>
      </c>
      <c r="AF133" s="71">
        <v>2.6983722000000002E-2</v>
      </c>
      <c r="AG133" s="71">
        <v>4.3538997000000003E-2</v>
      </c>
      <c r="AH133" s="71">
        <v>4.7009305000000001E-2</v>
      </c>
      <c r="AI133" s="71">
        <v>5.6156549E-2</v>
      </c>
      <c r="AJ133" s="71">
        <v>6.7655918999999995E-2</v>
      </c>
      <c r="AK133" s="71">
        <v>7.2766356000000004E-2</v>
      </c>
      <c r="AL133" s="71">
        <v>7.6145622999999996E-2</v>
      </c>
      <c r="AM133" s="71">
        <v>7.7515845999999999E-2</v>
      </c>
      <c r="AN133" s="71">
        <v>0.10597466799999999</v>
      </c>
      <c r="AO133" s="71">
        <v>0.64507259500000003</v>
      </c>
      <c r="AP133" s="71">
        <v>0.25026099800000001</v>
      </c>
    </row>
    <row r="134" spans="1:42" x14ac:dyDescent="0.2">
      <c r="A134" t="s">
        <v>138</v>
      </c>
      <c r="B134" t="s">
        <v>112</v>
      </c>
      <c r="C134" t="s">
        <v>357</v>
      </c>
      <c r="D134" t="s">
        <v>148</v>
      </c>
      <c r="E134" s="71">
        <v>3.9716004999999999E-2</v>
      </c>
      <c r="F134" s="71">
        <v>3.9463520000000002E-2</v>
      </c>
      <c r="G134" s="75">
        <v>3.8801192999999998E-2</v>
      </c>
      <c r="H134" s="71">
        <v>3.7729501999999998E-2</v>
      </c>
      <c r="I134" s="71">
        <v>3.6888361000000001E-2</v>
      </c>
      <c r="J134" s="71">
        <v>3.6253094999999999E-2</v>
      </c>
      <c r="K134" s="71">
        <v>3.5770773999999998E-2</v>
      </c>
      <c r="L134" s="71">
        <v>2.3218341E-2</v>
      </c>
      <c r="M134" s="71">
        <v>2.456444E-2</v>
      </c>
      <c r="N134" s="71">
        <v>2.4037976999999999E-2</v>
      </c>
      <c r="O134" s="71">
        <v>2.2327468999999999E-2</v>
      </c>
      <c r="P134" s="71">
        <v>2.1255422E-2</v>
      </c>
      <c r="Q134" s="71">
        <v>2.0952723999999999E-2</v>
      </c>
      <c r="R134" s="71">
        <v>2.0830960999999999E-2</v>
      </c>
      <c r="S134" s="71">
        <v>5.6613386000000002E-2</v>
      </c>
      <c r="T134" s="71">
        <v>5.4745494999999998E-2</v>
      </c>
      <c r="U134" s="71">
        <v>5.3472174999999997E-2</v>
      </c>
      <c r="V134" s="71">
        <v>5.3104614000000001E-2</v>
      </c>
      <c r="W134" s="71">
        <v>5.2332651000000001E-2</v>
      </c>
      <c r="X134" s="71">
        <v>5.1699106000000002E-2</v>
      </c>
      <c r="Y134" s="71">
        <v>5.0964837999999998E-2</v>
      </c>
      <c r="Z134" s="71">
        <v>3.2186483000000002E-2</v>
      </c>
      <c r="AA134" s="71">
        <v>3.1284070999999997E-2</v>
      </c>
      <c r="AB134" s="71">
        <v>2.8697783000000001E-2</v>
      </c>
      <c r="AC134" s="71">
        <v>2.4864785E-2</v>
      </c>
      <c r="AD134" s="71">
        <v>2.2983995E-2</v>
      </c>
      <c r="AE134" s="71">
        <v>2.2473546E-2</v>
      </c>
      <c r="AF134" s="71">
        <v>2.2271216E-2</v>
      </c>
      <c r="AG134" s="71">
        <v>4.7300385E-2</v>
      </c>
      <c r="AH134" s="71">
        <v>4.7707828000000001E-2</v>
      </c>
      <c r="AI134" s="71">
        <v>4.9003634999999997E-2</v>
      </c>
      <c r="AJ134" s="71">
        <v>5.0755677999999999E-2</v>
      </c>
      <c r="AK134" s="71">
        <v>5.0981896999999998E-2</v>
      </c>
      <c r="AL134" s="71">
        <v>5.0218310000000002E-2</v>
      </c>
      <c r="AM134" s="71">
        <v>4.9448674999999997E-2</v>
      </c>
      <c r="AN134" s="71">
        <v>4.7516528000000002E-2</v>
      </c>
      <c r="AO134" s="71">
        <v>0.77186784100000005</v>
      </c>
      <c r="AP134" s="71">
        <v>-0.25686875399999998</v>
      </c>
    </row>
    <row r="135" spans="1:42" x14ac:dyDescent="0.2">
      <c r="A135" t="s">
        <v>191</v>
      </c>
      <c r="B135" t="s">
        <v>112</v>
      </c>
      <c r="C135" t="s">
        <v>357</v>
      </c>
      <c r="D135" t="s">
        <v>148</v>
      </c>
      <c r="E135" s="71">
        <v>4.7466873999999999E-2</v>
      </c>
      <c r="F135" s="71">
        <v>4.7898769000000001E-2</v>
      </c>
      <c r="G135" s="71">
        <v>4.9203276999999997E-2</v>
      </c>
      <c r="H135" s="71">
        <v>5.1497817000000001E-2</v>
      </c>
      <c r="I135" s="71">
        <v>5.3292989999999998E-2</v>
      </c>
      <c r="J135" s="71">
        <v>5.4587840999999998E-2</v>
      </c>
      <c r="K135" s="71">
        <v>5.5522202999999999E-2</v>
      </c>
      <c r="L135" s="71">
        <v>5.3092979999999996E-3</v>
      </c>
      <c r="M135" s="71">
        <v>1.0861489E-2</v>
      </c>
      <c r="N135" s="71">
        <v>1.6723109E-2</v>
      </c>
      <c r="O135" s="71">
        <v>2.2603934999999999E-2</v>
      </c>
      <c r="P135" s="71">
        <v>2.6630661999999999E-2</v>
      </c>
      <c r="Q135" s="71">
        <v>2.9737441999999999E-2</v>
      </c>
      <c r="R135" s="71">
        <v>3.2310469000000001E-2</v>
      </c>
      <c r="S135" s="71">
        <v>9.1344481000000005E-2</v>
      </c>
      <c r="T135" s="71">
        <v>8.6139880000000002E-2</v>
      </c>
      <c r="U135" s="71">
        <v>8.3032145000000002E-2</v>
      </c>
      <c r="V135" s="71">
        <v>8.1389456999999998E-2</v>
      </c>
      <c r="W135" s="71">
        <v>8.0392509000000001E-2</v>
      </c>
      <c r="X135" s="71">
        <v>7.9841952999999993E-2</v>
      </c>
      <c r="Y135" s="71">
        <v>7.8824963999999997E-2</v>
      </c>
      <c r="Z135" s="71">
        <v>2.8306791000000001E-2</v>
      </c>
      <c r="AA135" s="71">
        <v>2.9887536999999999E-2</v>
      </c>
      <c r="AB135" s="71">
        <v>3.0057345999999999E-2</v>
      </c>
      <c r="AC135" s="71">
        <v>3.2218904E-2</v>
      </c>
      <c r="AD135" s="71">
        <v>3.4491472000000002E-2</v>
      </c>
      <c r="AE135" s="71">
        <v>3.6866865999999998E-2</v>
      </c>
      <c r="AF135" s="71">
        <v>3.8176474000000002E-2</v>
      </c>
      <c r="AG135" s="71">
        <v>6.6983859000000007E-2</v>
      </c>
      <c r="AH135" s="71">
        <v>6.6225070999999996E-2</v>
      </c>
      <c r="AI135" s="71">
        <v>6.8705076000000004E-2</v>
      </c>
      <c r="AJ135" s="71">
        <v>7.1136896000000005E-2</v>
      </c>
      <c r="AK135" s="71">
        <v>7.2436090999999994E-2</v>
      </c>
      <c r="AL135" s="71">
        <v>7.2611684999999995E-2</v>
      </c>
      <c r="AM135" s="71">
        <v>7.3157582999999998E-2</v>
      </c>
      <c r="AN135" s="71">
        <v>0.12206901000000001</v>
      </c>
      <c r="AO135" s="71">
        <v>0.42722388700000002</v>
      </c>
      <c r="AP135" s="71">
        <v>3.5316489E-2</v>
      </c>
    </row>
    <row r="136" spans="1:42" x14ac:dyDescent="0.2">
      <c r="A136" t="s">
        <v>138</v>
      </c>
      <c r="B136" t="s">
        <v>112</v>
      </c>
      <c r="C136" t="s">
        <v>364</v>
      </c>
      <c r="D136" t="s">
        <v>147</v>
      </c>
      <c r="E136" s="71">
        <v>3.586781E-2</v>
      </c>
      <c r="F136" s="71">
        <v>3.5928965E-2</v>
      </c>
      <c r="G136" s="75">
        <v>3.6020994000000001E-2</v>
      </c>
      <c r="H136" s="71">
        <v>3.6017656000000002E-2</v>
      </c>
      <c r="I136" s="71">
        <v>3.5901665999999999E-2</v>
      </c>
      <c r="J136" s="71">
        <v>3.5755873000000001E-2</v>
      </c>
      <c r="K136" s="71">
        <v>3.5616159000000001E-2</v>
      </c>
      <c r="L136" s="71">
        <v>-7.3923299999999999E-3</v>
      </c>
      <c r="M136" s="71">
        <v>-3.198509E-3</v>
      </c>
      <c r="N136" s="71">
        <v>-1.9406530000000001E-3</v>
      </c>
      <c r="O136" s="71">
        <v>-6.4926299999999997E-4</v>
      </c>
      <c r="P136" s="71">
        <v>4.38794E-4</v>
      </c>
      <c r="Q136" s="71">
        <v>1.3728340000000001E-3</v>
      </c>
      <c r="R136" s="71">
        <v>2.7684369999999999E-3</v>
      </c>
      <c r="S136" s="71">
        <v>8.1147126E-2</v>
      </c>
      <c r="T136" s="71">
        <v>7.6828107000000007E-2</v>
      </c>
      <c r="U136" s="71">
        <v>7.4589666999999998E-2</v>
      </c>
      <c r="V136" s="71">
        <v>7.3602214999999999E-2</v>
      </c>
      <c r="W136" s="71">
        <v>7.2509868000000005E-2</v>
      </c>
      <c r="X136" s="71">
        <v>7.0889661000000007E-2</v>
      </c>
      <c r="Y136" s="71">
        <v>6.9518542000000003E-2</v>
      </c>
      <c r="Z136" s="71">
        <v>1.2507216E-2</v>
      </c>
      <c r="AA136" s="71">
        <v>1.1454092000000001E-2</v>
      </c>
      <c r="AB136" s="71">
        <v>8.5872420000000001E-3</v>
      </c>
      <c r="AC136" s="71">
        <v>5.3327100000000001E-3</v>
      </c>
      <c r="AD136" s="71">
        <v>4.5825299999999996E-3</v>
      </c>
      <c r="AE136" s="71">
        <v>7.3687320000000002E-3</v>
      </c>
      <c r="AF136" s="71">
        <v>8.5720250000000005E-3</v>
      </c>
      <c r="AG136" s="71">
        <v>5.9767378000000003E-2</v>
      </c>
      <c r="AH136" s="71">
        <v>6.0995888999999998E-2</v>
      </c>
      <c r="AI136" s="71">
        <v>6.4200867999999994E-2</v>
      </c>
      <c r="AJ136" s="71">
        <v>6.7639012999999998E-2</v>
      </c>
      <c r="AK136" s="71">
        <v>6.8197226999999999E-2</v>
      </c>
      <c r="AL136" s="71">
        <v>6.4943047000000004E-2</v>
      </c>
      <c r="AM136" s="71">
        <v>6.3385635999999995E-2</v>
      </c>
      <c r="AN136" s="71">
        <v>0.11928757700000001</v>
      </c>
      <c r="AO136" s="71">
        <v>0.75728729400000006</v>
      </c>
      <c r="AP136" s="71">
        <v>-0.20619309799999999</v>
      </c>
    </row>
    <row r="137" spans="1:42" x14ac:dyDescent="0.2">
      <c r="A137" t="s">
        <v>103</v>
      </c>
      <c r="B137" t="s">
        <v>112</v>
      </c>
      <c r="C137" t="s">
        <v>124</v>
      </c>
      <c r="D137" t="s">
        <v>123</v>
      </c>
      <c r="E137" s="71">
        <v>6.4737320000000001E-2</v>
      </c>
      <c r="F137" s="71">
        <v>6.4816356000000006E-2</v>
      </c>
      <c r="G137" s="71">
        <v>6.5177559999999995E-2</v>
      </c>
      <c r="H137" s="71">
        <v>6.5992235999999996E-2</v>
      </c>
      <c r="I137" s="71">
        <v>6.6716194000000006E-2</v>
      </c>
      <c r="J137" s="71">
        <v>6.7268610000000006E-2</v>
      </c>
      <c r="K137" s="71">
        <v>6.7677616999999995E-2</v>
      </c>
      <c r="L137" s="71">
        <v>1.0831499E-2</v>
      </c>
      <c r="M137" s="71">
        <v>1.7576189999999998E-2</v>
      </c>
      <c r="N137" s="71">
        <v>2.3686414999999999E-2</v>
      </c>
      <c r="O137" s="71">
        <v>3.0122372000000001E-2</v>
      </c>
      <c r="P137" s="71">
        <v>3.3726552E-2</v>
      </c>
      <c r="Q137" s="71">
        <v>3.7849668000000003E-2</v>
      </c>
      <c r="R137" s="71">
        <v>3.9785946000000003E-2</v>
      </c>
      <c r="S137" s="71">
        <v>0.12214145899999999</v>
      </c>
      <c r="T137" s="71">
        <v>0.11448570700000001</v>
      </c>
      <c r="U137" s="71">
        <v>0.108266773</v>
      </c>
      <c r="V137" s="71">
        <v>0.103452901</v>
      </c>
      <c r="W137" s="71">
        <v>0.100300708</v>
      </c>
      <c r="X137" s="71">
        <v>9.7453108999999996E-2</v>
      </c>
      <c r="Y137" s="71">
        <v>9.5880585000000004E-2</v>
      </c>
      <c r="Z137" s="71">
        <v>4.0836371000000003E-2</v>
      </c>
      <c r="AA137" s="71">
        <v>4.2297670000000002E-2</v>
      </c>
      <c r="AB137" s="71">
        <v>4.2613625000000002E-2</v>
      </c>
      <c r="AC137" s="71">
        <v>4.4934449000000001E-2</v>
      </c>
      <c r="AD137" s="71">
        <v>4.6104151000000003E-2</v>
      </c>
      <c r="AE137" s="71">
        <v>4.7969962999999997E-2</v>
      </c>
      <c r="AF137" s="71">
        <v>4.8969746000000001E-2</v>
      </c>
      <c r="AG137" s="71">
        <v>8.9187296999999999E-2</v>
      </c>
      <c r="AH137" s="71">
        <v>8.7821817999999996E-2</v>
      </c>
      <c r="AI137" s="71">
        <v>8.8229736000000003E-2</v>
      </c>
      <c r="AJ137" s="71">
        <v>8.7474228000000001E-2</v>
      </c>
      <c r="AK137" s="71">
        <v>8.7734455000000003E-2</v>
      </c>
      <c r="AL137" s="71">
        <v>8.6922630000000001E-2</v>
      </c>
      <c r="AM137" s="71">
        <v>8.6719233000000007E-2</v>
      </c>
      <c r="AN137" s="71">
        <v>0.150633341</v>
      </c>
      <c r="AO137" s="71">
        <v>0.30390920900000001</v>
      </c>
      <c r="AP137" s="71">
        <v>0.45621393900000001</v>
      </c>
    </row>
    <row r="138" spans="1:42" x14ac:dyDescent="0.2">
      <c r="A138" t="s">
        <v>138</v>
      </c>
      <c r="B138" t="s">
        <v>112</v>
      </c>
      <c r="C138" t="s">
        <v>122</v>
      </c>
      <c r="D138" t="s">
        <v>121</v>
      </c>
      <c r="E138" s="71">
        <v>4.3699861E-2</v>
      </c>
      <c r="F138" s="71">
        <v>4.4736027999999997E-2</v>
      </c>
      <c r="G138" s="75">
        <v>4.7178388000000002E-2</v>
      </c>
      <c r="H138" s="71">
        <v>5.0511955999999997E-2</v>
      </c>
      <c r="I138" s="71">
        <v>5.2667022000000001E-2</v>
      </c>
      <c r="J138" s="71">
        <v>5.4057121E-2</v>
      </c>
      <c r="K138" s="71">
        <v>5.4993153000000003E-2</v>
      </c>
      <c r="L138" s="71">
        <v>8.3665030000000008E-3</v>
      </c>
      <c r="M138" s="71">
        <v>1.1347434E-2</v>
      </c>
      <c r="N138" s="71">
        <v>1.4678899E-2</v>
      </c>
      <c r="O138" s="71">
        <v>1.8120002999999999E-2</v>
      </c>
      <c r="P138" s="71">
        <v>2.0728567E-2</v>
      </c>
      <c r="Q138" s="71">
        <v>2.3354903999999999E-2</v>
      </c>
      <c r="R138" s="71">
        <v>2.5504748000000001E-2</v>
      </c>
      <c r="S138" s="71">
        <v>8.013874E-2</v>
      </c>
      <c r="T138" s="71">
        <v>7.8338317000000005E-2</v>
      </c>
      <c r="U138" s="71">
        <v>8.0816626000000003E-2</v>
      </c>
      <c r="V138" s="71">
        <v>8.3713948999999996E-2</v>
      </c>
      <c r="W138" s="71">
        <v>8.4788860999999993E-2</v>
      </c>
      <c r="X138" s="71">
        <v>8.5479845999999998E-2</v>
      </c>
      <c r="Y138" s="71">
        <v>8.5012496000000007E-2</v>
      </c>
      <c r="Z138" s="71">
        <v>1.9580034999999999E-2</v>
      </c>
      <c r="AA138" s="71">
        <v>2.121522E-2</v>
      </c>
      <c r="AB138" s="71">
        <v>2.0452425E-2</v>
      </c>
      <c r="AC138" s="71">
        <v>2.0247212000000001E-2</v>
      </c>
      <c r="AD138" s="71">
        <v>2.2502439999999999E-2</v>
      </c>
      <c r="AE138" s="71">
        <v>2.4821570000000001E-2</v>
      </c>
      <c r="AF138" s="71">
        <v>2.6059892000000001E-2</v>
      </c>
      <c r="AG138" s="71">
        <v>6.8390439999999997E-2</v>
      </c>
      <c r="AH138" s="71">
        <v>6.8798550999999999E-2</v>
      </c>
      <c r="AI138" s="71">
        <v>7.4604264000000003E-2</v>
      </c>
      <c r="AJ138" s="71">
        <v>8.1674446999999997E-2</v>
      </c>
      <c r="AK138" s="71">
        <v>8.3721536999999999E-2</v>
      </c>
      <c r="AL138" s="71">
        <v>8.4126697E-2</v>
      </c>
      <c r="AM138" s="71">
        <v>8.4742195000000006E-2</v>
      </c>
      <c r="AN138" s="71">
        <v>8.5470008E-2</v>
      </c>
      <c r="AO138" s="71">
        <v>0.42543811999999998</v>
      </c>
      <c r="AP138" s="71">
        <v>0.46322206500000002</v>
      </c>
    </row>
    <row r="139" spans="1:42" x14ac:dyDescent="0.2">
      <c r="A139" t="s">
        <v>288</v>
      </c>
      <c r="B139" t="s">
        <v>112</v>
      </c>
      <c r="C139" t="s">
        <v>122</v>
      </c>
      <c r="D139" t="s">
        <v>121</v>
      </c>
      <c r="E139" s="71">
        <v>4.0906310000000001E-2</v>
      </c>
      <c r="F139" s="71">
        <v>4.2247534000000003E-2</v>
      </c>
      <c r="G139" s="71">
        <v>4.5472144999999999E-2</v>
      </c>
      <c r="H139" s="71">
        <v>5.0046085999999997E-2</v>
      </c>
      <c r="I139" s="71">
        <v>5.3161144E-2</v>
      </c>
      <c r="J139" s="71">
        <v>5.5270433000000001E-2</v>
      </c>
      <c r="K139" s="71">
        <v>5.6749344E-2</v>
      </c>
      <c r="L139" s="71">
        <v>1.6517300000000001E-4</v>
      </c>
      <c r="M139" s="71">
        <v>4.3072429999999997E-3</v>
      </c>
      <c r="N139" s="71">
        <v>8.9549090000000005E-3</v>
      </c>
      <c r="O139" s="71">
        <v>1.4697063E-2</v>
      </c>
      <c r="P139" s="71">
        <v>1.9465191E-2</v>
      </c>
      <c r="Q139" s="71">
        <v>2.3886396000000001E-2</v>
      </c>
      <c r="R139" s="71">
        <v>2.6899699999999999E-2</v>
      </c>
      <c r="S139" s="71">
        <v>8.4111687000000004E-2</v>
      </c>
      <c r="T139" s="71">
        <v>8.1598898000000003E-2</v>
      </c>
      <c r="U139" s="71">
        <v>8.3234590999999997E-2</v>
      </c>
      <c r="V139" s="71">
        <v>8.6747708000000007E-2</v>
      </c>
      <c r="W139" s="71">
        <v>8.7611112000000005E-2</v>
      </c>
      <c r="X139" s="71">
        <v>8.7988242999999994E-2</v>
      </c>
      <c r="Y139" s="71">
        <v>8.7167427000000006E-2</v>
      </c>
      <c r="Z139" s="71">
        <v>1.3365497E-2</v>
      </c>
      <c r="AA139" s="71">
        <v>1.5778818999999999E-2</v>
      </c>
      <c r="AB139" s="71">
        <v>1.6468949E-2</v>
      </c>
      <c r="AC139" s="71">
        <v>2.1070406E-2</v>
      </c>
      <c r="AD139" s="71">
        <v>2.5709506E-2</v>
      </c>
      <c r="AE139" s="71">
        <v>2.7291058E-2</v>
      </c>
      <c r="AF139" s="71">
        <v>2.9513968000000002E-2</v>
      </c>
      <c r="AG139" s="71">
        <v>6.9195810999999996E-2</v>
      </c>
      <c r="AH139" s="71">
        <v>6.9406043000000001E-2</v>
      </c>
      <c r="AI139" s="71">
        <v>7.5303017999999999E-2</v>
      </c>
      <c r="AJ139" s="71">
        <v>7.9843993000000002E-2</v>
      </c>
      <c r="AK139" s="71">
        <v>8.1347378999999997E-2</v>
      </c>
      <c r="AL139" s="71">
        <v>8.4011680000000005E-2</v>
      </c>
      <c r="AM139" s="71">
        <v>8.4705358999999994E-2</v>
      </c>
      <c r="AN139" s="71">
        <v>0.10364269199999999</v>
      </c>
      <c r="AO139" s="71">
        <v>0.27869938700000002</v>
      </c>
      <c r="AP139" s="71">
        <v>0.28057978</v>
      </c>
    </row>
    <row r="140" spans="1:42" x14ac:dyDescent="0.2">
      <c r="A140" t="s">
        <v>272</v>
      </c>
      <c r="B140" t="s">
        <v>112</v>
      </c>
      <c r="C140" t="s">
        <v>122</v>
      </c>
      <c r="D140" t="s">
        <v>121</v>
      </c>
      <c r="E140" s="71">
        <v>2.4761914999999999E-2</v>
      </c>
      <c r="F140" s="71">
        <v>2.6804924000000001E-2</v>
      </c>
      <c r="G140" s="71">
        <v>3.1621336999999999E-2</v>
      </c>
      <c r="H140" s="71">
        <v>3.8285254999999997E-2</v>
      </c>
      <c r="I140" s="71">
        <v>4.2734265E-2</v>
      </c>
      <c r="J140" s="71">
        <v>4.5716286000000002E-2</v>
      </c>
      <c r="K140" s="71">
        <v>4.7797799000000002E-2</v>
      </c>
      <c r="L140" s="71">
        <v>-1.1680223E-2</v>
      </c>
      <c r="M140" s="71">
        <v>-6.7860029999999997E-3</v>
      </c>
      <c r="N140" s="71">
        <v>-1.5217589999999999E-3</v>
      </c>
      <c r="O140" s="71">
        <v>6.0077819999999997E-3</v>
      </c>
      <c r="P140" s="71">
        <v>1.1737251000000001E-2</v>
      </c>
      <c r="Q140" s="71">
        <v>1.5808591E-2</v>
      </c>
      <c r="R140" s="71">
        <v>1.9574106000000001E-2</v>
      </c>
      <c r="S140" s="71">
        <v>6.2306158E-2</v>
      </c>
      <c r="T140" s="71">
        <v>6.1657046E-2</v>
      </c>
      <c r="U140" s="71">
        <v>6.5645906000000004E-2</v>
      </c>
      <c r="V140" s="71">
        <v>7.1803979000000004E-2</v>
      </c>
      <c r="W140" s="71">
        <v>7.4415908000000003E-2</v>
      </c>
      <c r="X140" s="71">
        <v>7.5670440000000005E-2</v>
      </c>
      <c r="Y140" s="71">
        <v>7.6775620000000003E-2</v>
      </c>
      <c r="Z140" s="71">
        <v>-1.111803E-3</v>
      </c>
      <c r="AA140" s="71">
        <v>1.0807950000000001E-3</v>
      </c>
      <c r="AB140" s="71">
        <v>5.3269620000000002E-3</v>
      </c>
      <c r="AC140" s="71">
        <v>1.1808531000000001E-2</v>
      </c>
      <c r="AD140" s="71">
        <v>1.5842258000000001E-2</v>
      </c>
      <c r="AE140" s="71">
        <v>2.0752389999999999E-2</v>
      </c>
      <c r="AF140" s="71">
        <v>2.1668251999999999E-2</v>
      </c>
      <c r="AG140" s="71">
        <v>5.1305581000000003E-2</v>
      </c>
      <c r="AH140" s="71">
        <v>5.3190130000000002E-2</v>
      </c>
      <c r="AI140" s="71">
        <v>5.8603383000000002E-2</v>
      </c>
      <c r="AJ140" s="71">
        <v>6.5454815999999999E-2</v>
      </c>
      <c r="AK140" s="71">
        <v>7.0337999999999998E-2</v>
      </c>
      <c r="AL140" s="71">
        <v>7.1290713000000006E-2</v>
      </c>
      <c r="AM140" s="71">
        <v>7.4595528999999994E-2</v>
      </c>
      <c r="AN140" s="71">
        <v>8.6570242000000006E-2</v>
      </c>
      <c r="AO140" s="71">
        <v>0.46685433700000001</v>
      </c>
      <c r="AP140" s="71">
        <v>0.223136109</v>
      </c>
    </row>
    <row r="141" spans="1:42" x14ac:dyDescent="0.2">
      <c r="A141" t="s">
        <v>178</v>
      </c>
      <c r="B141" t="s">
        <v>112</v>
      </c>
      <c r="C141" t="s">
        <v>122</v>
      </c>
      <c r="D141" t="s">
        <v>121</v>
      </c>
      <c r="E141" s="71">
        <v>3.0702113999999999E-2</v>
      </c>
      <c r="F141" s="71">
        <v>3.2941460999999998E-2</v>
      </c>
      <c r="G141" s="71">
        <v>3.803575E-2</v>
      </c>
      <c r="H141" s="71">
        <v>4.4884801000000002E-2</v>
      </c>
      <c r="I141" s="71">
        <v>4.9402356000000001E-2</v>
      </c>
      <c r="J141" s="71">
        <v>5.2423596000000003E-2</v>
      </c>
      <c r="K141" s="71">
        <v>5.4532050999999998E-2</v>
      </c>
      <c r="L141" s="71">
        <v>-1.4310160000000001E-2</v>
      </c>
      <c r="M141" s="71">
        <v>-7.323637E-3</v>
      </c>
      <c r="N141" s="71">
        <v>-9.1454500000000001E-4</v>
      </c>
      <c r="O141" s="71">
        <v>7.5221940000000003E-3</v>
      </c>
      <c r="P141" s="71">
        <v>1.4198697999999999E-2</v>
      </c>
      <c r="Q141" s="71">
        <v>1.9255504E-2</v>
      </c>
      <c r="R141" s="71">
        <v>2.3350487E-2</v>
      </c>
      <c r="S141" s="71">
        <v>7.8166315E-2</v>
      </c>
      <c r="T141" s="71">
        <v>7.6147202999999997E-2</v>
      </c>
      <c r="U141" s="71">
        <v>7.8764764000000001E-2</v>
      </c>
      <c r="V141" s="71">
        <v>8.3229544000000003E-2</v>
      </c>
      <c r="W141" s="71">
        <v>8.5977152000000001E-2</v>
      </c>
      <c r="X141" s="71">
        <v>8.6650740000000004E-2</v>
      </c>
      <c r="Y141" s="71">
        <v>8.6706008000000001E-2</v>
      </c>
      <c r="Z141" s="71">
        <v>2.4108609999999998E-3</v>
      </c>
      <c r="AA141" s="71">
        <v>4.8302909999999996E-3</v>
      </c>
      <c r="AB141" s="71">
        <v>7.3441089999999997E-3</v>
      </c>
      <c r="AC141" s="71">
        <v>1.3876298E-2</v>
      </c>
      <c r="AD141" s="71">
        <v>1.912353E-2</v>
      </c>
      <c r="AE141" s="71">
        <v>2.3208155000000001E-2</v>
      </c>
      <c r="AF141" s="71">
        <v>2.6235725000000001E-2</v>
      </c>
      <c r="AG141" s="71">
        <v>5.9791828999999998E-2</v>
      </c>
      <c r="AH141" s="71">
        <v>6.1839175000000003E-2</v>
      </c>
      <c r="AI141" s="71">
        <v>6.9662620999999994E-2</v>
      </c>
      <c r="AJ141" s="71">
        <v>7.6841657999999993E-2</v>
      </c>
      <c r="AK141" s="71">
        <v>8.0580703000000004E-2</v>
      </c>
      <c r="AL141" s="71">
        <v>8.2473001000000004E-2</v>
      </c>
      <c r="AM141" s="71">
        <v>8.3608461999999995E-2</v>
      </c>
      <c r="AN141" s="71">
        <v>0.113894117</v>
      </c>
      <c r="AO141" s="71">
        <v>0.18589763400000001</v>
      </c>
      <c r="AP141" s="71">
        <v>0.38407774099999997</v>
      </c>
    </row>
    <row r="142" spans="1:42" x14ac:dyDescent="0.2">
      <c r="A142" t="s">
        <v>191</v>
      </c>
      <c r="B142" t="s">
        <v>112</v>
      </c>
      <c r="C142" t="s">
        <v>122</v>
      </c>
      <c r="D142" t="s">
        <v>121</v>
      </c>
      <c r="E142" s="71">
        <v>5.1481009000000001E-2</v>
      </c>
      <c r="F142" s="71">
        <v>5.3214549999999999E-2</v>
      </c>
      <c r="G142" s="71">
        <v>5.7664752E-2</v>
      </c>
      <c r="H142" s="71">
        <v>6.4450263999999993E-2</v>
      </c>
      <c r="I142" s="71">
        <v>6.9321393999999995E-2</v>
      </c>
      <c r="J142" s="71">
        <v>7.2707057000000005E-2</v>
      </c>
      <c r="K142" s="71">
        <v>7.5111269999999994E-2</v>
      </c>
      <c r="L142" s="71">
        <v>8.4032299999999994E-3</v>
      </c>
      <c r="M142" s="71">
        <v>1.3537937E-2</v>
      </c>
      <c r="N142" s="71">
        <v>1.9623781E-2</v>
      </c>
      <c r="O142" s="71">
        <v>2.7825639999999999E-2</v>
      </c>
      <c r="P142" s="71">
        <v>3.4906855000000001E-2</v>
      </c>
      <c r="Q142" s="71">
        <v>3.9447437000000002E-2</v>
      </c>
      <c r="R142" s="71">
        <v>4.3660797000000001E-2</v>
      </c>
      <c r="S142" s="71">
        <v>9.6758471999999998E-2</v>
      </c>
      <c r="T142" s="71">
        <v>9.4571522000000005E-2</v>
      </c>
      <c r="U142" s="71">
        <v>9.7064282000000002E-2</v>
      </c>
      <c r="V142" s="71">
        <v>0.102305832</v>
      </c>
      <c r="W142" s="71">
        <v>0.10517235900000001</v>
      </c>
      <c r="X142" s="71">
        <v>0.106591383</v>
      </c>
      <c r="Y142" s="71">
        <v>0.10740723200000001</v>
      </c>
      <c r="Z142" s="71">
        <v>2.3680129000000001E-2</v>
      </c>
      <c r="AA142" s="71">
        <v>2.4394538E-2</v>
      </c>
      <c r="AB142" s="71">
        <v>2.7523914E-2</v>
      </c>
      <c r="AC142" s="71">
        <v>3.1681319999999999E-2</v>
      </c>
      <c r="AD142" s="71">
        <v>3.8015222000000001E-2</v>
      </c>
      <c r="AE142" s="71">
        <v>4.2920039E-2</v>
      </c>
      <c r="AF142" s="71">
        <v>4.726607E-2</v>
      </c>
      <c r="AG142" s="71">
        <v>8.0036858000000002E-2</v>
      </c>
      <c r="AH142" s="71">
        <v>8.2845419000000003E-2</v>
      </c>
      <c r="AI142" s="71">
        <v>8.8689908999999997E-2</v>
      </c>
      <c r="AJ142" s="71">
        <v>9.8259954999999996E-2</v>
      </c>
      <c r="AK142" s="71">
        <v>0.101571787</v>
      </c>
      <c r="AL142" s="71">
        <v>0.10334495</v>
      </c>
      <c r="AM142" s="71">
        <v>0.103696606</v>
      </c>
      <c r="AN142" s="71">
        <v>0.10591681</v>
      </c>
      <c r="AO142" s="71">
        <v>0.42312822300000003</v>
      </c>
      <c r="AP142" s="71">
        <v>0.34711523</v>
      </c>
    </row>
    <row r="143" spans="1:42" x14ac:dyDescent="0.2">
      <c r="A143" t="s">
        <v>254</v>
      </c>
      <c r="B143" t="s">
        <v>112</v>
      </c>
      <c r="C143" t="s">
        <v>122</v>
      </c>
      <c r="D143" t="s">
        <v>121</v>
      </c>
      <c r="E143" s="71">
        <v>2.8700829000000001E-2</v>
      </c>
      <c r="F143" s="71">
        <v>3.1463623000000003E-2</v>
      </c>
      <c r="G143" s="71">
        <v>3.7840009000000001E-2</v>
      </c>
      <c r="H143" s="71">
        <v>4.6384930999999997E-2</v>
      </c>
      <c r="I143" s="71">
        <v>5.1909088999999999E-2</v>
      </c>
      <c r="J143" s="71">
        <v>5.5536269999999999E-2</v>
      </c>
      <c r="K143" s="71">
        <v>5.8039068999999999E-2</v>
      </c>
      <c r="L143" s="71">
        <v>-1.2057241999999999E-2</v>
      </c>
      <c r="M143" s="71">
        <v>-5.9595430000000003E-3</v>
      </c>
      <c r="N143" s="71">
        <v>1.536021E-3</v>
      </c>
      <c r="O143" s="71">
        <v>1.1215948999999999E-2</v>
      </c>
      <c r="P143" s="71">
        <v>1.7927491E-2</v>
      </c>
      <c r="Q143" s="71">
        <v>2.3653661999999999E-2</v>
      </c>
      <c r="R143" s="71">
        <v>2.7767238999999999E-2</v>
      </c>
      <c r="S143" s="71">
        <v>7.1834492E-2</v>
      </c>
      <c r="T143" s="71">
        <v>7.0829942000000007E-2</v>
      </c>
      <c r="U143" s="71">
        <v>7.5514693999999993E-2</v>
      </c>
      <c r="V143" s="71">
        <v>8.2940422E-2</v>
      </c>
      <c r="W143" s="71">
        <v>8.7268849999999995E-2</v>
      </c>
      <c r="X143" s="71">
        <v>8.8859150999999997E-2</v>
      </c>
      <c r="Y143" s="71">
        <v>8.9359316999999994E-2</v>
      </c>
      <c r="Z143" s="71">
        <v>8.6040300000000004E-4</v>
      </c>
      <c r="AA143" s="71">
        <v>2.6783739999999999E-3</v>
      </c>
      <c r="AB143" s="71">
        <v>7.8880600000000006E-3</v>
      </c>
      <c r="AC143" s="71">
        <v>1.7064913000000001E-2</v>
      </c>
      <c r="AD143" s="71">
        <v>2.1233153000000001E-2</v>
      </c>
      <c r="AE143" s="71">
        <v>2.5886781000000001E-2</v>
      </c>
      <c r="AF143" s="71">
        <v>2.9515006999999999E-2</v>
      </c>
      <c r="AG143" s="71">
        <v>5.7315726999999997E-2</v>
      </c>
      <c r="AH143" s="71">
        <v>6.1075275999999998E-2</v>
      </c>
      <c r="AI143" s="71">
        <v>6.8681840999999993E-2</v>
      </c>
      <c r="AJ143" s="71">
        <v>7.6550276E-2</v>
      </c>
      <c r="AK143" s="71">
        <v>8.3506263999999997E-2</v>
      </c>
      <c r="AL143" s="71">
        <v>8.6042459000000002E-2</v>
      </c>
      <c r="AM143" s="71">
        <v>8.7353370999999999E-2</v>
      </c>
      <c r="AN143" s="71">
        <v>0.104084601</v>
      </c>
      <c r="AO143" s="71">
        <v>0.23479593300000001</v>
      </c>
      <c r="AP143" s="71">
        <v>0.52660017199999998</v>
      </c>
    </row>
    <row r="144" spans="1:42" x14ac:dyDescent="0.2">
      <c r="A144" t="s">
        <v>103</v>
      </c>
      <c r="B144" t="s">
        <v>112</v>
      </c>
      <c r="C144" t="s">
        <v>122</v>
      </c>
      <c r="D144" t="s">
        <v>121</v>
      </c>
      <c r="E144" s="71">
        <v>6.2253237000000003E-2</v>
      </c>
      <c r="F144" s="71">
        <v>6.3694476999999999E-2</v>
      </c>
      <c r="G144" s="71">
        <v>6.7342520000000003E-2</v>
      </c>
      <c r="H144" s="71">
        <v>7.2836160999999996E-2</v>
      </c>
      <c r="I144" s="71">
        <v>7.6756119999999997E-2</v>
      </c>
      <c r="J144" s="71">
        <v>7.9476476000000004E-2</v>
      </c>
      <c r="K144" s="71">
        <v>8.1407546999999997E-2</v>
      </c>
      <c r="L144" s="71">
        <v>6.2765390000000002E-3</v>
      </c>
      <c r="M144" s="71">
        <v>1.3229055E-2</v>
      </c>
      <c r="N144" s="71">
        <v>2.0019452E-2</v>
      </c>
      <c r="O144" s="71">
        <v>2.8995E-2</v>
      </c>
      <c r="P144" s="71">
        <v>3.5752641000000002E-2</v>
      </c>
      <c r="Q144" s="71">
        <v>4.0971727999999999E-2</v>
      </c>
      <c r="R144" s="71">
        <v>4.5494742999999997E-2</v>
      </c>
      <c r="S144" s="71">
        <v>0.12065606600000001</v>
      </c>
      <c r="T144" s="71">
        <v>0.11649035000000001</v>
      </c>
      <c r="U144" s="71">
        <v>0.116633976</v>
      </c>
      <c r="V144" s="71">
        <v>0.117616929</v>
      </c>
      <c r="W144" s="71">
        <v>0.11975232800000001</v>
      </c>
      <c r="X144" s="71">
        <v>0.119788056</v>
      </c>
      <c r="Y144" s="71">
        <v>0.118201214</v>
      </c>
      <c r="Z144" s="71">
        <v>2.8492842000000001E-2</v>
      </c>
      <c r="AA144" s="71">
        <v>3.0051872E-2</v>
      </c>
      <c r="AB144" s="71">
        <v>3.3001705999999999E-2</v>
      </c>
      <c r="AC144" s="71">
        <v>3.7269498999999998E-2</v>
      </c>
      <c r="AD144" s="71">
        <v>4.2891662999999997E-2</v>
      </c>
      <c r="AE144" s="71">
        <v>4.6951751999999999E-2</v>
      </c>
      <c r="AF144" s="71">
        <v>5.0695746E-2</v>
      </c>
      <c r="AG144" s="71">
        <v>9.7121661999999997E-2</v>
      </c>
      <c r="AH144" s="71">
        <v>9.8435880000000003E-2</v>
      </c>
      <c r="AI144" s="71">
        <v>0.10282487899999999</v>
      </c>
      <c r="AJ144" s="71">
        <v>0.10962234999999999</v>
      </c>
      <c r="AK144" s="71">
        <v>0.11172014600000001</v>
      </c>
      <c r="AL144" s="71">
        <v>0.113011529</v>
      </c>
      <c r="AM144" s="71">
        <v>0.113017118</v>
      </c>
      <c r="AN144" s="71">
        <v>0.14289437199999999</v>
      </c>
      <c r="AO144" s="71">
        <v>0.24918246099999999</v>
      </c>
      <c r="AP144" s="71">
        <v>0.58646061199999999</v>
      </c>
    </row>
    <row r="145" spans="1:42" x14ac:dyDescent="0.2">
      <c r="A145" t="s">
        <v>214</v>
      </c>
      <c r="B145" t="s">
        <v>112</v>
      </c>
      <c r="C145" t="s">
        <v>122</v>
      </c>
      <c r="D145" t="s">
        <v>121</v>
      </c>
      <c r="E145" s="71">
        <v>4.4033527000000003E-2</v>
      </c>
      <c r="F145" s="71">
        <v>4.4837117000000003E-2</v>
      </c>
      <c r="G145" s="71">
        <v>4.6812056999999997E-2</v>
      </c>
      <c r="H145" s="71">
        <v>4.9702167999999998E-2</v>
      </c>
      <c r="I145" s="71">
        <v>5.1736592999999997E-2</v>
      </c>
      <c r="J145" s="71">
        <v>5.3148745999999997E-2</v>
      </c>
      <c r="K145" s="71">
        <v>5.4155946000000003E-2</v>
      </c>
      <c r="L145" s="71">
        <v>8.3534460000000005E-3</v>
      </c>
      <c r="M145" s="71">
        <v>1.2213228E-2</v>
      </c>
      <c r="N145" s="71">
        <v>1.4409999E-2</v>
      </c>
      <c r="O145" s="71">
        <v>1.7665136000000001E-2</v>
      </c>
      <c r="P145" s="71">
        <v>2.0842198999999999E-2</v>
      </c>
      <c r="Q145" s="71">
        <v>2.4529117E-2</v>
      </c>
      <c r="R145" s="71">
        <v>2.6106877000000001E-2</v>
      </c>
      <c r="S145" s="71">
        <v>8.0316308000000003E-2</v>
      </c>
      <c r="T145" s="71">
        <v>7.8931293E-2</v>
      </c>
      <c r="U145" s="71">
        <v>8.0501815000000004E-2</v>
      </c>
      <c r="V145" s="71">
        <v>8.3624895000000005E-2</v>
      </c>
      <c r="W145" s="71">
        <v>8.3911606999999999E-2</v>
      </c>
      <c r="X145" s="71">
        <v>8.3572038000000001E-2</v>
      </c>
      <c r="Y145" s="71">
        <v>8.2928784000000005E-2</v>
      </c>
      <c r="Z145" s="71">
        <v>2.0594459999999998E-2</v>
      </c>
      <c r="AA145" s="71">
        <v>2.0866583000000001E-2</v>
      </c>
      <c r="AB145" s="71">
        <v>2.1193869000000001E-2</v>
      </c>
      <c r="AC145" s="71">
        <v>2.1119484000000001E-2</v>
      </c>
      <c r="AD145" s="71">
        <v>2.3015126E-2</v>
      </c>
      <c r="AE145" s="71">
        <v>2.4032095999999999E-2</v>
      </c>
      <c r="AF145" s="71">
        <v>2.6415622999999999E-2</v>
      </c>
      <c r="AG145" s="71">
        <v>6.8010863000000005E-2</v>
      </c>
      <c r="AH145" s="71">
        <v>6.9370658000000002E-2</v>
      </c>
      <c r="AI145" s="71">
        <v>7.3072897999999997E-2</v>
      </c>
      <c r="AJ145" s="71">
        <v>7.9084788000000003E-2</v>
      </c>
      <c r="AK145" s="71">
        <v>8.1264293000000001E-2</v>
      </c>
      <c r="AL145" s="71">
        <v>8.3093147000000006E-2</v>
      </c>
      <c r="AM145" s="71">
        <v>8.2646076999999998E-2</v>
      </c>
      <c r="AN145" s="71">
        <v>8.5264527000000007E-2</v>
      </c>
      <c r="AO145" s="71">
        <v>0.42436327099999999</v>
      </c>
      <c r="AP145" s="71">
        <v>0.52110022199999995</v>
      </c>
    </row>
    <row r="146" spans="1:42" x14ac:dyDescent="0.2">
      <c r="A146" t="s">
        <v>164</v>
      </c>
      <c r="B146" t="s">
        <v>112</v>
      </c>
      <c r="C146" t="s">
        <v>122</v>
      </c>
      <c r="D146" t="s">
        <v>121</v>
      </c>
      <c r="E146" s="71">
        <v>2.3235321E-2</v>
      </c>
      <c r="F146" s="71">
        <v>2.5052308999999998E-2</v>
      </c>
      <c r="G146" s="71">
        <v>2.9523730000000001E-2</v>
      </c>
      <c r="H146" s="71">
        <v>3.6084533000000002E-2</v>
      </c>
      <c r="I146" s="71">
        <v>4.0715217999999997E-2</v>
      </c>
      <c r="J146" s="71">
        <v>4.3935417999999997E-2</v>
      </c>
      <c r="K146" s="71">
        <v>4.6235323000000002E-2</v>
      </c>
      <c r="L146" s="71">
        <v>-1.0866327E-2</v>
      </c>
      <c r="M146" s="71">
        <v>-6.5217490000000003E-3</v>
      </c>
      <c r="N146" s="71">
        <v>-1.6532459999999999E-3</v>
      </c>
      <c r="O146" s="71">
        <v>5.6199709999999996E-3</v>
      </c>
      <c r="P146" s="71">
        <v>1.1969542E-2</v>
      </c>
      <c r="Q146" s="71">
        <v>1.6556925E-2</v>
      </c>
      <c r="R146" s="71">
        <v>1.9560119000000001E-2</v>
      </c>
      <c r="S146" s="71">
        <v>5.8136788000000002E-2</v>
      </c>
      <c r="T146" s="71">
        <v>5.7851396999999999E-2</v>
      </c>
      <c r="U146" s="71">
        <v>6.1240322999999999E-2</v>
      </c>
      <c r="V146" s="71">
        <v>6.7347562E-2</v>
      </c>
      <c r="W146" s="71">
        <v>7.0566599999999993E-2</v>
      </c>
      <c r="X146" s="71">
        <v>7.2331240000000005E-2</v>
      </c>
      <c r="Y146" s="71">
        <v>7.3235248000000003E-2</v>
      </c>
      <c r="Z146" s="71">
        <v>-6.9853899999999997E-4</v>
      </c>
      <c r="AA146" s="71">
        <v>7.1294100000000003E-4</v>
      </c>
      <c r="AB146" s="71">
        <v>2.7605529999999998E-3</v>
      </c>
      <c r="AC146" s="71">
        <v>9.0476470000000007E-3</v>
      </c>
      <c r="AD146" s="71">
        <v>1.3504881999999999E-2</v>
      </c>
      <c r="AE146" s="71">
        <v>1.8091228000000001E-2</v>
      </c>
      <c r="AF146" s="71">
        <v>1.9750652E-2</v>
      </c>
      <c r="AG146" s="71">
        <v>4.7742416000000003E-2</v>
      </c>
      <c r="AH146" s="71">
        <v>4.9983670000000001E-2</v>
      </c>
      <c r="AI146" s="71">
        <v>5.7001138999999999E-2</v>
      </c>
      <c r="AJ146" s="71">
        <v>6.3845908000000007E-2</v>
      </c>
      <c r="AK146" s="71">
        <v>6.8656141000000004E-2</v>
      </c>
      <c r="AL146" s="71">
        <v>7.0435654E-2</v>
      </c>
      <c r="AM146" s="71">
        <v>7.3407937000000006E-2</v>
      </c>
      <c r="AN146" s="71">
        <v>7.5295889000000005E-2</v>
      </c>
      <c r="AO146" s="71">
        <v>0.36135043100000003</v>
      </c>
      <c r="AP146" s="71">
        <v>0.34514646399999999</v>
      </c>
    </row>
    <row r="147" spans="1:42" x14ac:dyDescent="0.2">
      <c r="A147" t="s">
        <v>345</v>
      </c>
      <c r="B147" t="s">
        <v>112</v>
      </c>
      <c r="C147" t="s">
        <v>122</v>
      </c>
      <c r="D147" t="s">
        <v>121</v>
      </c>
      <c r="E147" s="71">
        <v>1.8236399E-2</v>
      </c>
      <c r="F147" s="71">
        <v>2.1833657999999999E-2</v>
      </c>
      <c r="G147" s="71">
        <v>3.0470252E-2</v>
      </c>
      <c r="H147" s="71">
        <v>4.2785405999999998E-2</v>
      </c>
      <c r="I147" s="71">
        <v>5.1224828E-2</v>
      </c>
      <c r="J147" s="71">
        <v>5.6963921000000001E-2</v>
      </c>
      <c r="K147" s="71">
        <v>6.1000108999999997E-2</v>
      </c>
      <c r="L147" s="71">
        <v>-1.8247584000000001E-2</v>
      </c>
      <c r="M147" s="71">
        <v>-1.2179361999999999E-2</v>
      </c>
      <c r="N147" s="71">
        <v>-3.101847E-3</v>
      </c>
      <c r="O147" s="71">
        <v>9.6448679999999992E-3</v>
      </c>
      <c r="P147" s="71">
        <v>1.9144774999999999E-2</v>
      </c>
      <c r="Q147" s="71">
        <v>2.5808049E-2</v>
      </c>
      <c r="R147" s="71">
        <v>3.1846742999999997E-2</v>
      </c>
      <c r="S147" s="71">
        <v>5.6568960000000001E-2</v>
      </c>
      <c r="T147" s="71">
        <v>5.6975082000000003E-2</v>
      </c>
      <c r="U147" s="71">
        <v>6.5301338E-2</v>
      </c>
      <c r="V147" s="71">
        <v>7.6574821000000001E-2</v>
      </c>
      <c r="W147" s="71">
        <v>8.4809849000000007E-2</v>
      </c>
      <c r="X147" s="71">
        <v>8.9016091000000006E-2</v>
      </c>
      <c r="Y147" s="71">
        <v>9.1181264999999997E-2</v>
      </c>
      <c r="Z147" s="71">
        <v>-8.8328980000000005E-3</v>
      </c>
      <c r="AA147" s="71">
        <v>-4.140828E-3</v>
      </c>
      <c r="AB147" s="71">
        <v>1.815489E-3</v>
      </c>
      <c r="AC147" s="71">
        <v>1.3126137E-2</v>
      </c>
      <c r="AD147" s="71">
        <v>2.2405405E-2</v>
      </c>
      <c r="AE147" s="71">
        <v>2.9196686999999999E-2</v>
      </c>
      <c r="AF147" s="71">
        <v>3.3990436999999998E-2</v>
      </c>
      <c r="AG147" s="71">
        <v>4.6044956999999997E-2</v>
      </c>
      <c r="AH147" s="71">
        <v>4.8485554E-2</v>
      </c>
      <c r="AI147" s="71">
        <v>5.9944606999999997E-2</v>
      </c>
      <c r="AJ147" s="71">
        <v>7.3312972000000004E-2</v>
      </c>
      <c r="AK147" s="71">
        <v>8.085676E-2</v>
      </c>
      <c r="AL147" s="71">
        <v>8.5480334000000005E-2</v>
      </c>
      <c r="AM147" s="71">
        <v>8.8715298999999997E-2</v>
      </c>
      <c r="AN147" s="71">
        <v>8.8275939999999997E-2</v>
      </c>
      <c r="AO147" s="71">
        <v>0.36155838699999998</v>
      </c>
      <c r="AP147" s="71">
        <v>0.40062050399999999</v>
      </c>
    </row>
    <row r="148" spans="1:42" x14ac:dyDescent="0.2">
      <c r="A148" t="s">
        <v>224</v>
      </c>
      <c r="B148" t="s">
        <v>112</v>
      </c>
      <c r="C148" t="s">
        <v>342</v>
      </c>
      <c r="D148" t="s">
        <v>233</v>
      </c>
      <c r="E148" s="71">
        <v>7.0182203999999998E-2</v>
      </c>
      <c r="F148" s="71">
        <v>6.8616152E-2</v>
      </c>
      <c r="G148" s="71">
        <v>6.4739226999999996E-2</v>
      </c>
      <c r="H148" s="71">
        <v>5.8986783000000001E-2</v>
      </c>
      <c r="I148" s="71">
        <v>5.4855823999999997E-2</v>
      </c>
      <c r="J148" s="71">
        <v>5.1930428000000001E-2</v>
      </c>
      <c r="K148" s="71">
        <v>4.9807072000000001E-2</v>
      </c>
      <c r="L148" s="71">
        <v>2.7344362000000001E-2</v>
      </c>
      <c r="M148" s="71">
        <v>2.9111299E-2</v>
      </c>
      <c r="N148" s="71">
        <v>2.3833275000000001E-2</v>
      </c>
      <c r="O148" s="71">
        <v>1.7151751E-2</v>
      </c>
      <c r="P148" s="71">
        <v>1.3067962000000001E-2</v>
      </c>
      <c r="Q148" s="71">
        <v>1.1121755000000001E-2</v>
      </c>
      <c r="R148" s="71">
        <v>1.1305505E-2</v>
      </c>
      <c r="S148" s="71">
        <v>0.11501344199999999</v>
      </c>
      <c r="T148" s="71">
        <v>0.109134151</v>
      </c>
      <c r="U148" s="71">
        <v>0.10679886700000001</v>
      </c>
      <c r="V148" s="71">
        <v>0.102721826</v>
      </c>
      <c r="W148" s="71">
        <v>9.7899823999999996E-2</v>
      </c>
      <c r="X148" s="71">
        <v>9.4319587999999996E-2</v>
      </c>
      <c r="Y148" s="71">
        <v>9.0289106999999993E-2</v>
      </c>
      <c r="Z148" s="71">
        <v>4.271689E-2</v>
      </c>
      <c r="AA148" s="71">
        <v>4.0137305999999998E-2</v>
      </c>
      <c r="AB148" s="71">
        <v>3.0235801E-2</v>
      </c>
      <c r="AC148" s="71">
        <v>1.8340386E-2</v>
      </c>
      <c r="AD148" s="71">
        <v>1.3878434E-2</v>
      </c>
      <c r="AE148" s="71">
        <v>1.1918432E-2</v>
      </c>
      <c r="AF148" s="71">
        <v>1.4054436E-2</v>
      </c>
      <c r="AG148" s="71">
        <v>9.8371030999999998E-2</v>
      </c>
      <c r="AH148" s="71">
        <v>9.7874848E-2</v>
      </c>
      <c r="AI148" s="71">
        <v>0.100398062</v>
      </c>
      <c r="AJ148" s="71">
        <v>0.101255653</v>
      </c>
      <c r="AK148" s="71">
        <v>9.7489189000000004E-2</v>
      </c>
      <c r="AL148" s="71">
        <v>9.3524364999999998E-2</v>
      </c>
      <c r="AM148" s="71">
        <v>8.6820277000000001E-2</v>
      </c>
      <c r="AN148" s="71">
        <v>0.10374032</v>
      </c>
      <c r="AO148" s="71">
        <v>0.77340039699999996</v>
      </c>
      <c r="AP148" s="71">
        <v>-6.9935659999999997E-3</v>
      </c>
    </row>
    <row r="149" spans="1:42" x14ac:dyDescent="0.2">
      <c r="A149" t="s">
        <v>138</v>
      </c>
      <c r="B149" t="s">
        <v>112</v>
      </c>
      <c r="C149" t="s">
        <v>358</v>
      </c>
      <c r="D149" t="s">
        <v>146</v>
      </c>
      <c r="E149" s="71">
        <v>5.7599902000000001E-2</v>
      </c>
      <c r="F149" s="71">
        <v>5.7413578E-2</v>
      </c>
      <c r="G149" s="75">
        <v>5.6908964999999999E-2</v>
      </c>
      <c r="H149" s="71">
        <v>5.6058525999999997E-2</v>
      </c>
      <c r="I149" s="71">
        <v>5.5365324E-2</v>
      </c>
      <c r="J149" s="71">
        <v>5.4828404999999997E-2</v>
      </c>
      <c r="K149" s="71">
        <v>5.4414391999999999E-2</v>
      </c>
      <c r="L149" s="71">
        <v>3.2834202E-2</v>
      </c>
      <c r="M149" s="71">
        <v>3.4698805999999999E-2</v>
      </c>
      <c r="N149" s="71">
        <v>3.3952886000000002E-2</v>
      </c>
      <c r="O149" s="71">
        <v>3.2596887999999997E-2</v>
      </c>
      <c r="P149" s="71">
        <v>3.2611861999999998E-2</v>
      </c>
      <c r="Q149" s="71">
        <v>3.2669700000000003E-2</v>
      </c>
      <c r="R149" s="71">
        <v>3.2933417E-2</v>
      </c>
      <c r="S149" s="71">
        <v>8.2953151000000003E-2</v>
      </c>
      <c r="T149" s="71">
        <v>8.1025792999999999E-2</v>
      </c>
      <c r="U149" s="71">
        <v>8.0050784999999999E-2</v>
      </c>
      <c r="V149" s="71">
        <v>7.9838414999999996E-2</v>
      </c>
      <c r="W149" s="71">
        <v>7.8845659999999998E-2</v>
      </c>
      <c r="X149" s="71">
        <v>7.7489569999999994E-2</v>
      </c>
      <c r="Y149" s="71">
        <v>7.6151343999999996E-2</v>
      </c>
      <c r="Z149" s="71">
        <v>4.1755252999999999E-2</v>
      </c>
      <c r="AA149" s="71">
        <v>4.1957927999999999E-2</v>
      </c>
      <c r="AB149" s="71">
        <v>3.8994507999999997E-2</v>
      </c>
      <c r="AC149" s="71">
        <v>3.6213387999999999E-2</v>
      </c>
      <c r="AD149" s="71">
        <v>3.5345939E-2</v>
      </c>
      <c r="AE149" s="71">
        <v>3.4105074999999999E-2</v>
      </c>
      <c r="AF149" s="71">
        <v>3.4176363000000001E-2</v>
      </c>
      <c r="AG149" s="71">
        <v>7.3685658000000001E-2</v>
      </c>
      <c r="AH149" s="71">
        <v>7.3098453999999993E-2</v>
      </c>
      <c r="AI149" s="71">
        <v>7.5132505000000002E-2</v>
      </c>
      <c r="AJ149" s="71">
        <v>7.6283608000000003E-2</v>
      </c>
      <c r="AK149" s="71">
        <v>7.5771742000000003E-2</v>
      </c>
      <c r="AL149" s="71">
        <v>7.5967212000000006E-2</v>
      </c>
      <c r="AM149" s="71">
        <v>7.5048678999999993E-2</v>
      </c>
      <c r="AN149" s="71">
        <v>6.2561890999999994E-2</v>
      </c>
      <c r="AO149" s="71">
        <v>0.13322489100000001</v>
      </c>
      <c r="AP149" s="71">
        <v>0.63505899899999996</v>
      </c>
    </row>
    <row r="150" spans="1:42" x14ac:dyDescent="0.2">
      <c r="A150" t="s">
        <v>191</v>
      </c>
      <c r="B150" t="s">
        <v>112</v>
      </c>
      <c r="C150" t="s">
        <v>358</v>
      </c>
      <c r="D150" t="s">
        <v>146</v>
      </c>
      <c r="E150" s="71">
        <v>6.5484642999999995E-2</v>
      </c>
      <c r="F150" s="71">
        <v>6.5995097000000003E-2</v>
      </c>
      <c r="G150" s="71">
        <v>6.7492962000000004E-2</v>
      </c>
      <c r="H150" s="71">
        <v>7.0070267000000006E-2</v>
      </c>
      <c r="I150" s="71">
        <v>7.2062372999999999E-2</v>
      </c>
      <c r="J150" s="71">
        <v>7.3492168999999996E-2</v>
      </c>
      <c r="K150" s="71">
        <v>7.4521422000000004E-2</v>
      </c>
      <c r="L150" s="71">
        <v>2.7667081999999999E-2</v>
      </c>
      <c r="M150" s="71">
        <v>3.1393638000000001E-2</v>
      </c>
      <c r="N150" s="71">
        <v>3.5392842000000001E-2</v>
      </c>
      <c r="O150" s="71">
        <v>4.0522378999999997E-2</v>
      </c>
      <c r="P150" s="71">
        <v>4.4718270999999997E-2</v>
      </c>
      <c r="Q150" s="71">
        <v>4.8071102999999997E-2</v>
      </c>
      <c r="R150" s="71">
        <v>5.0818611E-2</v>
      </c>
      <c r="S150" s="71">
        <v>0.104632448</v>
      </c>
      <c r="T150" s="71">
        <v>0.101223721</v>
      </c>
      <c r="U150" s="71">
        <v>9.9955894000000003E-2</v>
      </c>
      <c r="V150" s="71">
        <v>0.10029001</v>
      </c>
      <c r="W150" s="71">
        <v>0.100308139</v>
      </c>
      <c r="X150" s="71">
        <v>9.9835699999999999E-2</v>
      </c>
      <c r="Y150" s="71">
        <v>9.8813662999999996E-2</v>
      </c>
      <c r="Z150" s="71">
        <v>4.3106500999999998E-2</v>
      </c>
      <c r="AA150" s="71">
        <v>4.4595897000000002E-2</v>
      </c>
      <c r="AB150" s="71">
        <v>4.6014982000000003E-2</v>
      </c>
      <c r="AC150" s="71">
        <v>4.9271519E-2</v>
      </c>
      <c r="AD150" s="71">
        <v>5.1511345E-2</v>
      </c>
      <c r="AE150" s="71">
        <v>5.2499694E-2</v>
      </c>
      <c r="AF150" s="71">
        <v>5.4967173000000001E-2</v>
      </c>
      <c r="AG150" s="71">
        <v>8.8342816000000005E-2</v>
      </c>
      <c r="AH150" s="71">
        <v>8.7832430000000003E-2</v>
      </c>
      <c r="AI150" s="71">
        <v>8.9411949000000004E-2</v>
      </c>
      <c r="AJ150" s="71">
        <v>9.1281395000000001E-2</v>
      </c>
      <c r="AK150" s="71">
        <v>9.3014949999999999E-2</v>
      </c>
      <c r="AL150" s="71">
        <v>9.4903221999999995E-2</v>
      </c>
      <c r="AM150" s="71">
        <v>9.4438252E-2</v>
      </c>
      <c r="AN150" s="71">
        <v>9.6990782999999997E-2</v>
      </c>
      <c r="AO150" s="71">
        <v>0.12656814599999999</v>
      </c>
      <c r="AP150" s="71">
        <v>0.41225877</v>
      </c>
    </row>
    <row r="151" spans="1:42" x14ac:dyDescent="0.2">
      <c r="A151" t="s">
        <v>103</v>
      </c>
      <c r="B151" t="s">
        <v>112</v>
      </c>
      <c r="C151" t="s">
        <v>120</v>
      </c>
      <c r="D151" t="s">
        <v>119</v>
      </c>
      <c r="E151" s="71">
        <v>5.8795093999999999E-2</v>
      </c>
      <c r="F151" s="71">
        <v>5.9843063000000002E-2</v>
      </c>
      <c r="G151" s="71">
        <v>6.2540053999999998E-2</v>
      </c>
      <c r="H151" s="71">
        <v>6.6674947999999998E-2</v>
      </c>
      <c r="I151" s="71">
        <v>6.9663763000000004E-2</v>
      </c>
      <c r="J151" s="71">
        <v>7.1751236999999995E-2</v>
      </c>
      <c r="K151" s="71">
        <v>7.3237418999999998E-2</v>
      </c>
      <c r="L151" s="71">
        <v>6.7283150000000003E-3</v>
      </c>
      <c r="M151" s="71">
        <v>1.3802706E-2</v>
      </c>
      <c r="N151" s="71">
        <v>2.2162892999999999E-2</v>
      </c>
      <c r="O151" s="71">
        <v>3.1026697999999998E-2</v>
      </c>
      <c r="P151" s="71">
        <v>3.742827E-2</v>
      </c>
      <c r="Q151" s="71">
        <v>4.2737485999999998E-2</v>
      </c>
      <c r="R151" s="71">
        <v>4.6094318000000002E-2</v>
      </c>
      <c r="S151" s="71">
        <v>0.113373049</v>
      </c>
      <c r="T151" s="71">
        <v>0.10726535800000001</v>
      </c>
      <c r="U151" s="71">
        <v>0.104213388</v>
      </c>
      <c r="V151" s="71">
        <v>0.10331917</v>
      </c>
      <c r="W151" s="71">
        <v>0.102548889</v>
      </c>
      <c r="X151" s="71">
        <v>0.101489518</v>
      </c>
      <c r="Y151" s="71">
        <v>0.101356611</v>
      </c>
      <c r="Z151" s="71">
        <v>3.5470823999999998E-2</v>
      </c>
      <c r="AA151" s="71">
        <v>3.7121288000000002E-2</v>
      </c>
      <c r="AB151" s="71">
        <v>4.0092363999999998E-2</v>
      </c>
      <c r="AC151" s="71">
        <v>4.4777699999999997E-2</v>
      </c>
      <c r="AD151" s="71">
        <v>4.9099252000000003E-2</v>
      </c>
      <c r="AE151" s="71">
        <v>5.1542585000000002E-2</v>
      </c>
      <c r="AF151" s="71">
        <v>5.4574569000000003E-2</v>
      </c>
      <c r="AG151" s="71">
        <v>8.2644818999999994E-2</v>
      </c>
      <c r="AH151" s="71">
        <v>8.3062783000000001E-2</v>
      </c>
      <c r="AI151" s="71">
        <v>8.5472100999999995E-2</v>
      </c>
      <c r="AJ151" s="71">
        <v>8.9031192999999995E-2</v>
      </c>
      <c r="AK151" s="71">
        <v>9.0631589999999998E-2</v>
      </c>
      <c r="AL151" s="71">
        <v>9.2348363000000003E-2</v>
      </c>
      <c r="AM151" s="71">
        <v>9.2230642000000002E-2</v>
      </c>
      <c r="AN151" s="71">
        <v>0.14498470099999999</v>
      </c>
      <c r="AO151" s="71">
        <v>0.253433611</v>
      </c>
      <c r="AP151" s="71">
        <v>0.55049722400000001</v>
      </c>
    </row>
    <row r="152" spans="1:42" x14ac:dyDescent="0.2">
      <c r="A152" t="s">
        <v>288</v>
      </c>
      <c r="B152" t="s">
        <v>112</v>
      </c>
      <c r="C152" t="s">
        <v>118</v>
      </c>
      <c r="D152" t="s">
        <v>117</v>
      </c>
      <c r="E152" s="71">
        <v>5.2766681000000003E-2</v>
      </c>
      <c r="F152" s="71">
        <v>5.3213716000000001E-2</v>
      </c>
      <c r="G152" s="71">
        <v>5.4280162E-2</v>
      </c>
      <c r="H152" s="71">
        <v>5.5781602999999999E-2</v>
      </c>
      <c r="I152" s="71">
        <v>5.6799412000000001E-2</v>
      </c>
      <c r="J152" s="71">
        <v>5.7486891999999998E-2</v>
      </c>
      <c r="K152" s="71">
        <v>5.7968140000000001E-2</v>
      </c>
      <c r="L152" s="71">
        <v>1.9894551E-2</v>
      </c>
      <c r="M152" s="71">
        <v>2.3574069E-2</v>
      </c>
      <c r="N152" s="71">
        <v>2.7539318E-2</v>
      </c>
      <c r="O152" s="71">
        <v>3.1546851000000001E-2</v>
      </c>
      <c r="P152" s="71">
        <v>3.4586681000000001E-2</v>
      </c>
      <c r="Q152" s="71">
        <v>3.6939537000000001E-2</v>
      </c>
      <c r="R152" s="71">
        <v>3.8943442000000002E-2</v>
      </c>
      <c r="S152" s="71">
        <v>8.7284848999999998E-2</v>
      </c>
      <c r="T152" s="71">
        <v>8.3775099000000006E-2</v>
      </c>
      <c r="U152" s="71">
        <v>8.1909779000000002E-2</v>
      </c>
      <c r="V152" s="71">
        <v>8.0727389999999996E-2</v>
      </c>
      <c r="W152" s="71">
        <v>7.9749472000000002E-2</v>
      </c>
      <c r="X152" s="71">
        <v>7.8741204999999995E-2</v>
      </c>
      <c r="Y152" s="71">
        <v>7.7774865999999998E-2</v>
      </c>
      <c r="Z152" s="71">
        <v>3.4434091999999999E-2</v>
      </c>
      <c r="AA152" s="71">
        <v>3.5481697E-2</v>
      </c>
      <c r="AB152" s="71">
        <v>3.6165194999999997E-2</v>
      </c>
      <c r="AC152" s="71">
        <v>3.8055797000000002E-2</v>
      </c>
      <c r="AD152" s="71">
        <v>3.9322620000000003E-2</v>
      </c>
      <c r="AE152" s="71">
        <v>4.0694149999999998E-2</v>
      </c>
      <c r="AF152" s="71">
        <v>4.1786783000000001E-2</v>
      </c>
      <c r="AG152" s="71">
        <v>7.1350892999999999E-2</v>
      </c>
      <c r="AH152" s="71">
        <v>7.1180452000000005E-2</v>
      </c>
      <c r="AI152" s="71">
        <v>7.2652792999999993E-2</v>
      </c>
      <c r="AJ152" s="71">
        <v>7.3765471999999999E-2</v>
      </c>
      <c r="AK152" s="71">
        <v>7.4535076000000006E-2</v>
      </c>
      <c r="AL152" s="71">
        <v>7.4522138000000002E-2</v>
      </c>
      <c r="AM152" s="71">
        <v>7.4377222000000007E-2</v>
      </c>
      <c r="AN152" s="71">
        <v>8.9646556000000002E-2</v>
      </c>
      <c r="AO152" s="71">
        <v>4.4275831000000002E-2</v>
      </c>
      <c r="AP152" s="71">
        <v>0.400104083</v>
      </c>
    </row>
    <row r="153" spans="1:42" x14ac:dyDescent="0.2">
      <c r="A153" t="s">
        <v>272</v>
      </c>
      <c r="B153" t="s">
        <v>112</v>
      </c>
      <c r="C153" t="s">
        <v>118</v>
      </c>
      <c r="D153" t="s">
        <v>117</v>
      </c>
      <c r="E153" s="71">
        <v>3.6436915E-2</v>
      </c>
      <c r="F153" s="71">
        <v>3.7607670000000003E-2</v>
      </c>
      <c r="G153" s="71">
        <v>4.0311575000000002E-2</v>
      </c>
      <c r="H153" s="71">
        <v>4.3956041000000001E-2</v>
      </c>
      <c r="I153" s="71">
        <v>4.6335936000000001E-2</v>
      </c>
      <c r="J153" s="71">
        <v>4.7912359000000002E-2</v>
      </c>
      <c r="K153" s="71">
        <v>4.9005866000000002E-2</v>
      </c>
      <c r="L153" s="71">
        <v>9.2697679999999994E-3</v>
      </c>
      <c r="M153" s="71">
        <v>1.3373491E-2</v>
      </c>
      <c r="N153" s="71">
        <v>1.8180631999999999E-2</v>
      </c>
      <c r="O153" s="71">
        <v>2.3323238E-2</v>
      </c>
      <c r="P153" s="71">
        <v>2.7338910000000001E-2</v>
      </c>
      <c r="Q153" s="71">
        <v>2.9846696999999998E-2</v>
      </c>
      <c r="R153" s="71">
        <v>3.1821342000000002E-2</v>
      </c>
      <c r="S153" s="71">
        <v>6.3906574999999993E-2</v>
      </c>
      <c r="T153" s="71">
        <v>6.2267517000000001E-2</v>
      </c>
      <c r="U153" s="71">
        <v>6.2868780999999999E-2</v>
      </c>
      <c r="V153" s="71">
        <v>6.4854745000000005E-2</v>
      </c>
      <c r="W153" s="71">
        <v>6.575483E-2</v>
      </c>
      <c r="X153" s="71">
        <v>6.6112334999999994E-2</v>
      </c>
      <c r="Y153" s="71">
        <v>6.6272598000000002E-2</v>
      </c>
      <c r="Z153" s="71">
        <v>1.9278037000000001E-2</v>
      </c>
      <c r="AA153" s="71">
        <v>2.1212146000000001E-2</v>
      </c>
      <c r="AB153" s="71">
        <v>2.3747000000000001E-2</v>
      </c>
      <c r="AC153" s="71">
        <v>2.7321216999999998E-2</v>
      </c>
      <c r="AD153" s="71">
        <v>3.0331427000000001E-2</v>
      </c>
      <c r="AE153" s="71">
        <v>3.3283238999999999E-2</v>
      </c>
      <c r="AF153" s="71">
        <v>3.4998000000000001E-2</v>
      </c>
      <c r="AG153" s="71">
        <v>5.3812868999999999E-2</v>
      </c>
      <c r="AH153" s="71">
        <v>5.4198468E-2</v>
      </c>
      <c r="AI153" s="71">
        <v>5.7086282000000002E-2</v>
      </c>
      <c r="AJ153" s="71">
        <v>6.0815846999999999E-2</v>
      </c>
      <c r="AK153" s="71">
        <v>6.2554486000000006E-2</v>
      </c>
      <c r="AL153" s="71">
        <v>6.2720415000000002E-2</v>
      </c>
      <c r="AM153" s="71">
        <v>6.3179833000000005E-2</v>
      </c>
      <c r="AN153" s="71">
        <v>6.8723071999999996E-2</v>
      </c>
      <c r="AO153" s="71">
        <v>0.225538725</v>
      </c>
      <c r="AP153" s="71">
        <v>0.37374922900000002</v>
      </c>
    </row>
    <row r="154" spans="1:42" x14ac:dyDescent="0.2">
      <c r="A154" t="s">
        <v>178</v>
      </c>
      <c r="B154" t="s">
        <v>112</v>
      </c>
      <c r="C154" t="s">
        <v>118</v>
      </c>
      <c r="D154" t="s">
        <v>117</v>
      </c>
      <c r="E154" s="71">
        <v>4.2445301999999997E-2</v>
      </c>
      <c r="F154" s="71">
        <v>4.3809174999999999E-2</v>
      </c>
      <c r="G154" s="71">
        <v>4.6780466999999999E-2</v>
      </c>
      <c r="H154" s="71">
        <v>5.0591707E-2</v>
      </c>
      <c r="I154" s="71">
        <v>5.3027272E-2</v>
      </c>
      <c r="J154" s="71">
        <v>5.4633737000000002E-2</v>
      </c>
      <c r="K154" s="71">
        <v>5.5747985999999999E-2</v>
      </c>
      <c r="L154" s="71">
        <v>5.1156179999999997E-3</v>
      </c>
      <c r="M154" s="71">
        <v>1.0803712E-2</v>
      </c>
      <c r="N154" s="71">
        <v>1.6927368000000002E-2</v>
      </c>
      <c r="O154" s="71">
        <v>2.3932753000000001E-2</v>
      </c>
      <c r="P154" s="71">
        <v>2.8414215999999999E-2</v>
      </c>
      <c r="Q154" s="71">
        <v>3.1315974000000003E-2</v>
      </c>
      <c r="R154" s="71">
        <v>3.3959486999999997E-2</v>
      </c>
      <c r="S154" s="71">
        <v>8.1637860000000007E-2</v>
      </c>
      <c r="T154" s="71">
        <v>7.8130505000000003E-2</v>
      </c>
      <c r="U154" s="71">
        <v>7.7778191999999996E-2</v>
      </c>
      <c r="V154" s="71">
        <v>7.8092213999999993E-2</v>
      </c>
      <c r="W154" s="71">
        <v>7.8245737999999995E-2</v>
      </c>
      <c r="X154" s="71">
        <v>7.8482250000000003E-2</v>
      </c>
      <c r="Y154" s="71">
        <v>7.743688E-2</v>
      </c>
      <c r="Z154" s="71">
        <v>2.1129160000000001E-2</v>
      </c>
      <c r="AA154" s="71">
        <v>2.3534309999999999E-2</v>
      </c>
      <c r="AB154" s="71">
        <v>2.6958020999999999E-2</v>
      </c>
      <c r="AC154" s="71">
        <v>3.1713709E-2</v>
      </c>
      <c r="AD154" s="71">
        <v>3.4515796000000001E-2</v>
      </c>
      <c r="AE154" s="71">
        <v>3.7532810999999999E-2</v>
      </c>
      <c r="AF154" s="71">
        <v>3.9136513999999997E-2</v>
      </c>
      <c r="AG154" s="71">
        <v>6.420621E-2</v>
      </c>
      <c r="AH154" s="71">
        <v>6.4485165999999997E-2</v>
      </c>
      <c r="AI154" s="71">
        <v>6.6985340000000004E-2</v>
      </c>
      <c r="AJ154" s="71">
        <v>6.9814981999999998E-2</v>
      </c>
      <c r="AK154" s="71">
        <v>7.1869873000000001E-2</v>
      </c>
      <c r="AL154" s="71">
        <v>7.2016406000000005E-2</v>
      </c>
      <c r="AM154" s="71">
        <v>7.2624953000000006E-2</v>
      </c>
      <c r="AN154" s="71">
        <v>0.10260952199999999</v>
      </c>
      <c r="AO154" s="71">
        <v>-3.6481331999999998E-2</v>
      </c>
      <c r="AP154" s="71">
        <v>0.49700949300000002</v>
      </c>
    </row>
    <row r="155" spans="1:42" x14ac:dyDescent="0.2">
      <c r="A155" t="s">
        <v>103</v>
      </c>
      <c r="B155" t="s">
        <v>112</v>
      </c>
      <c r="C155" t="s">
        <v>118</v>
      </c>
      <c r="D155" t="s">
        <v>117</v>
      </c>
      <c r="E155" s="71">
        <v>7.4355006000000001E-2</v>
      </c>
      <c r="F155" s="71">
        <v>7.4884772000000002E-2</v>
      </c>
      <c r="G155" s="71">
        <v>7.6333403999999994E-2</v>
      </c>
      <c r="H155" s="71">
        <v>7.8695178000000005E-2</v>
      </c>
      <c r="I155" s="71">
        <v>8.0475091999999998E-2</v>
      </c>
      <c r="J155" s="71">
        <v>8.1743121000000002E-2</v>
      </c>
      <c r="K155" s="71">
        <v>8.2654238000000005E-2</v>
      </c>
      <c r="L155" s="71">
        <v>2.3324701999999999E-2</v>
      </c>
      <c r="M155" s="71">
        <v>2.8927126000000001E-2</v>
      </c>
      <c r="N155" s="71">
        <v>3.5267089000000001E-2</v>
      </c>
      <c r="O155" s="71">
        <v>4.2421054999999999E-2</v>
      </c>
      <c r="P155" s="71">
        <v>4.7649134000000003E-2</v>
      </c>
      <c r="Q155" s="71">
        <v>5.1630291000000002E-2</v>
      </c>
      <c r="R155" s="71">
        <v>5.4344166999999999E-2</v>
      </c>
      <c r="S155" s="71">
        <v>0.128124135</v>
      </c>
      <c r="T155" s="71">
        <v>0.122198679</v>
      </c>
      <c r="U155" s="71">
        <v>0.119312477</v>
      </c>
      <c r="V155" s="71">
        <v>0.115608883</v>
      </c>
      <c r="W155" s="71">
        <v>0.114297234</v>
      </c>
      <c r="X155" s="71">
        <v>0.112889635</v>
      </c>
      <c r="Y155" s="71">
        <v>0.111048012</v>
      </c>
      <c r="Z155" s="71">
        <v>4.7862727000000001E-2</v>
      </c>
      <c r="AA155" s="71">
        <v>4.8720759000000002E-2</v>
      </c>
      <c r="AB155" s="71">
        <v>5.0778831000000003E-2</v>
      </c>
      <c r="AC155" s="71">
        <v>5.4706690000000002E-2</v>
      </c>
      <c r="AD155" s="71">
        <v>5.7477571999999998E-2</v>
      </c>
      <c r="AE155" s="71">
        <v>5.9893412E-2</v>
      </c>
      <c r="AF155" s="71">
        <v>6.1698040000000003E-2</v>
      </c>
      <c r="AG155" s="71">
        <v>0.10151681899999999</v>
      </c>
      <c r="AH155" s="71">
        <v>0.101701298</v>
      </c>
      <c r="AI155" s="71">
        <v>0.102509155</v>
      </c>
      <c r="AJ155" s="71">
        <v>0.10322918</v>
      </c>
      <c r="AK155" s="71">
        <v>0.10397268</v>
      </c>
      <c r="AL155" s="71">
        <v>0.104043202</v>
      </c>
      <c r="AM155" s="71">
        <v>0.104024093</v>
      </c>
      <c r="AN155" s="71">
        <v>0.13596646100000001</v>
      </c>
      <c r="AO155" s="71">
        <v>7.8628157000000004E-2</v>
      </c>
      <c r="AP155" s="71">
        <v>0.67127499300000004</v>
      </c>
    </row>
    <row r="156" spans="1:42" x14ac:dyDescent="0.2">
      <c r="A156" t="s">
        <v>240</v>
      </c>
      <c r="B156" t="s">
        <v>112</v>
      </c>
      <c r="C156" t="s">
        <v>249</v>
      </c>
      <c r="D156" t="s">
        <v>248</v>
      </c>
      <c r="E156" s="71">
        <v>2.5507569000000001E-2</v>
      </c>
      <c r="F156" s="71">
        <v>2.5981068999999999E-2</v>
      </c>
      <c r="G156" s="71">
        <v>2.7121663000000001E-2</v>
      </c>
      <c r="H156" s="71">
        <v>2.8739572000000001E-2</v>
      </c>
      <c r="I156" s="71">
        <v>2.9839992999999999E-2</v>
      </c>
      <c r="J156" s="71">
        <v>3.0584097000000001E-2</v>
      </c>
      <c r="K156" s="71">
        <v>3.1105279999999999E-2</v>
      </c>
      <c r="L156" s="71">
        <v>1.2464641E-2</v>
      </c>
      <c r="M156" s="71">
        <v>1.4087878999999999E-2</v>
      </c>
      <c r="N156" s="71">
        <v>1.4542157999999999E-2</v>
      </c>
      <c r="O156" s="71">
        <v>1.4196665000000001E-2</v>
      </c>
      <c r="P156" s="71">
        <v>1.355482E-2</v>
      </c>
      <c r="Q156" s="71">
        <v>1.2915826E-2</v>
      </c>
      <c r="R156" s="71">
        <v>1.1762293E-2</v>
      </c>
      <c r="S156" s="71">
        <v>3.8629798999999999E-2</v>
      </c>
      <c r="T156" s="71">
        <v>3.8138330999999998E-2</v>
      </c>
      <c r="U156" s="71">
        <v>4.0118023000000003E-2</v>
      </c>
      <c r="V156" s="71">
        <v>4.3403610000000002E-2</v>
      </c>
      <c r="W156" s="71">
        <v>4.6198529000000002E-2</v>
      </c>
      <c r="X156" s="71">
        <v>4.8723664999999999E-2</v>
      </c>
      <c r="Y156" s="71">
        <v>5.0959731000000001E-2</v>
      </c>
      <c r="Z156" s="71">
        <v>1.9317689999999998E-2</v>
      </c>
      <c r="AA156" s="71">
        <v>1.8461038999999999E-2</v>
      </c>
      <c r="AB156" s="71">
        <v>1.6577109999999999E-2</v>
      </c>
      <c r="AC156" s="71">
        <v>1.4580427999999999E-2</v>
      </c>
      <c r="AD156" s="71">
        <v>1.3967032000000001E-2</v>
      </c>
      <c r="AE156" s="71">
        <v>1.3409429E-2</v>
      </c>
      <c r="AF156" s="71">
        <v>1.2889318E-2</v>
      </c>
      <c r="AG156" s="71">
        <v>3.1734815999999999E-2</v>
      </c>
      <c r="AH156" s="71">
        <v>3.3556555000000002E-2</v>
      </c>
      <c r="AI156" s="71">
        <v>3.7775687000000002E-2</v>
      </c>
      <c r="AJ156" s="71">
        <v>4.3096271999999998E-2</v>
      </c>
      <c r="AK156" s="71">
        <v>4.5961328000000003E-2</v>
      </c>
      <c r="AL156" s="71">
        <v>4.8049786999999997E-2</v>
      </c>
      <c r="AM156" s="71">
        <v>4.9648945E-2</v>
      </c>
      <c r="AN156" s="71">
        <v>3.6780457000000003E-2</v>
      </c>
      <c r="AO156" s="71">
        <v>0.46902324200000001</v>
      </c>
      <c r="AP156" s="71">
        <v>0.34332780499999999</v>
      </c>
    </row>
    <row r="157" spans="1:42" x14ac:dyDescent="0.2">
      <c r="A157" t="s">
        <v>138</v>
      </c>
      <c r="B157" t="s">
        <v>112</v>
      </c>
      <c r="C157" t="s">
        <v>365</v>
      </c>
      <c r="D157" t="s">
        <v>145</v>
      </c>
      <c r="E157" s="71">
        <v>4.5892239000000001E-2</v>
      </c>
      <c r="F157" s="71">
        <v>4.5364140999999997E-2</v>
      </c>
      <c r="G157" s="75">
        <v>4.4038652999999997E-2</v>
      </c>
      <c r="H157" s="71">
        <v>4.2029499999999997E-2</v>
      </c>
      <c r="I157" s="71">
        <v>4.0552734999999999E-2</v>
      </c>
      <c r="J157" s="71">
        <v>3.9488316000000002E-2</v>
      </c>
      <c r="K157" s="71">
        <v>3.8706063999999998E-2</v>
      </c>
      <c r="L157" s="71">
        <v>2.6991923000000001E-2</v>
      </c>
      <c r="M157" s="71">
        <v>2.7948085000000001E-2</v>
      </c>
      <c r="N157" s="71">
        <v>2.6823913000000001E-2</v>
      </c>
      <c r="O157" s="71">
        <v>2.4029651999999999E-2</v>
      </c>
      <c r="P157" s="71">
        <v>2.2617618999999999E-2</v>
      </c>
      <c r="Q157" s="71">
        <v>2.186511E-2</v>
      </c>
      <c r="R157" s="71">
        <v>2.1511567999999998E-2</v>
      </c>
      <c r="S157" s="71">
        <v>6.5118021999999998E-2</v>
      </c>
      <c r="T157" s="71">
        <v>6.2957785000000002E-2</v>
      </c>
      <c r="U157" s="71">
        <v>6.1974436000000001E-2</v>
      </c>
      <c r="V157" s="71">
        <v>6.0467183000000001E-2</v>
      </c>
      <c r="W157" s="71">
        <v>5.8835658999999998E-2</v>
      </c>
      <c r="X157" s="71">
        <v>5.7355054000000003E-2</v>
      </c>
      <c r="Y157" s="71">
        <v>5.6406877000000001E-2</v>
      </c>
      <c r="Z157" s="71">
        <v>3.6575867999999997E-2</v>
      </c>
      <c r="AA157" s="71">
        <v>3.5019568000000001E-2</v>
      </c>
      <c r="AB157" s="71">
        <v>3.1084115999999998E-2</v>
      </c>
      <c r="AC157" s="71">
        <v>2.6433159000000001E-2</v>
      </c>
      <c r="AD157" s="71">
        <v>2.3959542E-2</v>
      </c>
      <c r="AE157" s="71">
        <v>2.3345800999999999E-2</v>
      </c>
      <c r="AF157" s="71">
        <v>2.2299645E-2</v>
      </c>
      <c r="AG157" s="71">
        <v>5.5292493999999998E-2</v>
      </c>
      <c r="AH157" s="71">
        <v>5.5812087000000003E-2</v>
      </c>
      <c r="AI157" s="71">
        <v>5.7155984E-2</v>
      </c>
      <c r="AJ157" s="71">
        <v>5.7862790999999997E-2</v>
      </c>
      <c r="AK157" s="71">
        <v>5.7414785000000003E-2</v>
      </c>
      <c r="AL157" s="71">
        <v>5.5885579999999997E-2</v>
      </c>
      <c r="AM157" s="71">
        <v>5.5375808999999998E-2</v>
      </c>
      <c r="AN157" s="71">
        <v>5.2459008000000001E-2</v>
      </c>
      <c r="AO157" s="71">
        <v>0.56546717899999999</v>
      </c>
      <c r="AP157" s="71">
        <v>0.13212676200000001</v>
      </c>
    </row>
    <row r="158" spans="1:42" x14ac:dyDescent="0.2">
      <c r="A158" t="s">
        <v>224</v>
      </c>
      <c r="B158" t="s">
        <v>112</v>
      </c>
      <c r="C158" t="s">
        <v>343</v>
      </c>
      <c r="D158" t="s">
        <v>232</v>
      </c>
      <c r="E158" s="71">
        <v>5.4533243000000002E-2</v>
      </c>
      <c r="F158" s="71">
        <v>5.3439260000000002E-2</v>
      </c>
      <c r="G158" s="71">
        <v>5.0695418999999999E-2</v>
      </c>
      <c r="H158" s="71">
        <v>4.6539664000000001E-2</v>
      </c>
      <c r="I158" s="71">
        <v>4.3487310000000001E-2</v>
      </c>
      <c r="J158" s="71">
        <v>4.1288257000000002E-2</v>
      </c>
      <c r="K158" s="71">
        <v>3.9672135999999997E-2</v>
      </c>
      <c r="L158" s="71">
        <v>3.4164359999999998E-2</v>
      </c>
      <c r="M158" s="71">
        <v>3.4670160999999998E-2</v>
      </c>
      <c r="N158" s="71">
        <v>3.1466683000000002E-2</v>
      </c>
      <c r="O158" s="71">
        <v>2.5877767999999999E-2</v>
      </c>
      <c r="P158" s="71">
        <v>2.3157143000000002E-2</v>
      </c>
      <c r="Q158" s="71">
        <v>2.1885694000000001E-2</v>
      </c>
      <c r="R158" s="71">
        <v>2.0961493000000001E-2</v>
      </c>
      <c r="S158" s="71">
        <v>7.4804808E-2</v>
      </c>
      <c r="T158" s="71">
        <v>7.2146562999999997E-2</v>
      </c>
      <c r="U158" s="71">
        <v>7.0468174999999994E-2</v>
      </c>
      <c r="V158" s="71">
        <v>6.7568129000000005E-2</v>
      </c>
      <c r="W158" s="71">
        <v>6.4007046999999997E-2</v>
      </c>
      <c r="X158" s="71">
        <v>6.1424065E-2</v>
      </c>
      <c r="Y158" s="71">
        <v>5.8660178E-2</v>
      </c>
      <c r="Z158" s="71">
        <v>4.3402167999999998E-2</v>
      </c>
      <c r="AA158" s="71">
        <v>4.1401544999999998E-2</v>
      </c>
      <c r="AB158" s="71">
        <v>3.4626719E-2</v>
      </c>
      <c r="AC158" s="71">
        <v>2.6730981000000001E-2</v>
      </c>
      <c r="AD158" s="71">
        <v>2.3557473999999998E-2</v>
      </c>
      <c r="AE158" s="71">
        <v>2.2655791000000002E-2</v>
      </c>
      <c r="AF158" s="71">
        <v>2.1771026999999998E-2</v>
      </c>
      <c r="AG158" s="71">
        <v>6.5783113000000004E-2</v>
      </c>
      <c r="AH158" s="71">
        <v>6.5616296000000005E-2</v>
      </c>
      <c r="AI158" s="71">
        <v>6.7013659000000003E-2</v>
      </c>
      <c r="AJ158" s="71">
        <v>6.6730356000000005E-2</v>
      </c>
      <c r="AK158" s="71">
        <v>6.3805077000000002E-2</v>
      </c>
      <c r="AL158" s="71">
        <v>6.0259965999999998E-2</v>
      </c>
      <c r="AM158" s="71">
        <v>5.7886740999999999E-2</v>
      </c>
      <c r="AN158" s="71">
        <v>5.3157626999999999E-2</v>
      </c>
      <c r="AO158" s="71">
        <v>0.81188810899999997</v>
      </c>
      <c r="AP158" s="71">
        <v>-4.7918214000000001E-2</v>
      </c>
    </row>
    <row r="159" spans="1:42" x14ac:dyDescent="0.2">
      <c r="A159" t="s">
        <v>224</v>
      </c>
      <c r="B159" t="s">
        <v>112</v>
      </c>
      <c r="C159" t="s">
        <v>231</v>
      </c>
      <c r="D159" t="s">
        <v>230</v>
      </c>
      <c r="E159" s="71">
        <v>6.3899874999999995E-2</v>
      </c>
      <c r="F159" s="71">
        <v>6.2089086000000002E-2</v>
      </c>
      <c r="G159" s="71">
        <v>5.7626963000000003E-2</v>
      </c>
      <c r="H159" s="71">
        <v>5.1056026999999997E-2</v>
      </c>
      <c r="I159" s="71">
        <v>4.6376347999999998E-2</v>
      </c>
      <c r="J159" s="71">
        <v>4.3084144999999997E-2</v>
      </c>
      <c r="K159" s="71">
        <v>4.0706038E-2</v>
      </c>
      <c r="L159" s="71">
        <v>2.2830784999999999E-2</v>
      </c>
      <c r="M159" s="71">
        <v>2.3124815E-2</v>
      </c>
      <c r="N159" s="71">
        <v>1.7932614999999999E-2</v>
      </c>
      <c r="O159" s="71">
        <v>1.022577E-2</v>
      </c>
      <c r="P159" s="71">
        <v>5.0810150000000004E-3</v>
      </c>
      <c r="Q159" s="71">
        <v>3.7812869999999999E-3</v>
      </c>
      <c r="R159" s="71">
        <v>3.1557809999999999E-3</v>
      </c>
      <c r="S159" s="71">
        <v>0.106436906</v>
      </c>
      <c r="T159" s="71">
        <v>0.10198204600000001</v>
      </c>
      <c r="U159" s="71">
        <v>9.9427130000000002E-2</v>
      </c>
      <c r="V159" s="71">
        <v>9.4117486E-2</v>
      </c>
      <c r="W159" s="71">
        <v>8.9666238999999995E-2</v>
      </c>
      <c r="X159" s="71">
        <v>8.4244519000000004E-2</v>
      </c>
      <c r="Y159" s="71">
        <v>7.9541210000000001E-2</v>
      </c>
      <c r="Z159" s="71">
        <v>3.6733526000000002E-2</v>
      </c>
      <c r="AA159" s="71">
        <v>3.4396885000000002E-2</v>
      </c>
      <c r="AB159" s="71">
        <v>2.3867238999999998E-2</v>
      </c>
      <c r="AC159" s="71">
        <v>1.3015402000000001E-2</v>
      </c>
      <c r="AD159" s="71">
        <v>7.769499E-3</v>
      </c>
      <c r="AE159" s="71">
        <v>5.4749380000000004E-3</v>
      </c>
      <c r="AF159" s="71">
        <v>4.8880080000000001E-3</v>
      </c>
      <c r="AG159" s="71">
        <v>9.1778182E-2</v>
      </c>
      <c r="AH159" s="71">
        <v>9.0522690000000003E-2</v>
      </c>
      <c r="AI159" s="71">
        <v>9.2499844999999997E-2</v>
      </c>
      <c r="AJ159" s="71">
        <v>9.0525090000000002E-2</v>
      </c>
      <c r="AK159" s="71">
        <v>8.64621E-2</v>
      </c>
      <c r="AL159" s="71">
        <v>8.2100023999999994E-2</v>
      </c>
      <c r="AM159" s="71">
        <v>7.7800803000000002E-2</v>
      </c>
      <c r="AN159" s="71">
        <v>9.5858929999999995E-2</v>
      </c>
      <c r="AO159" s="71">
        <v>0.60011225899999998</v>
      </c>
      <c r="AP159" s="71">
        <v>0.14572998400000001</v>
      </c>
    </row>
    <row r="160" spans="1:42" x14ac:dyDescent="0.2">
      <c r="A160" t="s">
        <v>272</v>
      </c>
      <c r="B160" t="s">
        <v>112</v>
      </c>
      <c r="C160" t="s">
        <v>332</v>
      </c>
      <c r="D160" t="s">
        <v>281</v>
      </c>
      <c r="E160" s="71">
        <v>2.9141545000000001E-2</v>
      </c>
      <c r="F160" s="71">
        <v>3.0076265000000001E-2</v>
      </c>
      <c r="G160" s="71">
        <v>3.2211423000000003E-2</v>
      </c>
      <c r="H160" s="71">
        <v>3.5047293E-2</v>
      </c>
      <c r="I160" s="71">
        <v>3.6876320999999997E-2</v>
      </c>
      <c r="J160" s="71">
        <v>3.8079500000000002E-2</v>
      </c>
      <c r="K160" s="71">
        <v>3.8911223000000002E-2</v>
      </c>
      <c r="L160" s="71">
        <v>1.3574729000000001E-2</v>
      </c>
      <c r="M160" s="71">
        <v>1.5786247E-2</v>
      </c>
      <c r="N160" s="71">
        <v>1.7576390000000001E-2</v>
      </c>
      <c r="O160" s="71">
        <v>1.9822064E-2</v>
      </c>
      <c r="P160" s="71">
        <v>2.1966459000000001E-2</v>
      </c>
      <c r="Q160" s="71">
        <v>2.3666683000000001E-2</v>
      </c>
      <c r="R160" s="71">
        <v>2.4934893999999999E-2</v>
      </c>
      <c r="S160" s="71">
        <v>4.4786158999999999E-2</v>
      </c>
      <c r="T160" s="71">
        <v>4.4731310000000003E-2</v>
      </c>
      <c r="U160" s="71">
        <v>4.7156475000000003E-2</v>
      </c>
      <c r="V160" s="71">
        <v>5.0434069999999998E-2</v>
      </c>
      <c r="W160" s="71">
        <v>5.210157E-2</v>
      </c>
      <c r="X160" s="71">
        <v>5.2767201999999999E-2</v>
      </c>
      <c r="Y160" s="71">
        <v>5.2886434000000003E-2</v>
      </c>
      <c r="Z160" s="71">
        <v>2.1262944999999998E-2</v>
      </c>
      <c r="AA160" s="71">
        <v>2.1583927999999999E-2</v>
      </c>
      <c r="AB160" s="71">
        <v>2.1117988000000001E-2</v>
      </c>
      <c r="AC160" s="71">
        <v>2.2415384999999999E-2</v>
      </c>
      <c r="AD160" s="71">
        <v>2.3742003000000001E-2</v>
      </c>
      <c r="AE160" s="71">
        <v>2.5239228999999998E-2</v>
      </c>
      <c r="AF160" s="71">
        <v>2.7161015E-2</v>
      </c>
      <c r="AG160" s="71">
        <v>3.7080671000000003E-2</v>
      </c>
      <c r="AH160" s="71">
        <v>3.8638977999999997E-2</v>
      </c>
      <c r="AI160" s="71">
        <v>4.3425465000000003E-2</v>
      </c>
      <c r="AJ160" s="71">
        <v>4.7835328000000003E-2</v>
      </c>
      <c r="AK160" s="71">
        <v>5.0179085999999998E-2</v>
      </c>
      <c r="AL160" s="71">
        <v>5.1080367000000002E-2</v>
      </c>
      <c r="AM160" s="71">
        <v>5.0795739999999999E-2</v>
      </c>
      <c r="AN160" s="71">
        <v>4.2794731000000003E-2</v>
      </c>
      <c r="AO160" s="71">
        <v>0.82686173200000002</v>
      </c>
      <c r="AP160" s="71">
        <v>0.161683148</v>
      </c>
    </row>
    <row r="161" spans="1:42" x14ac:dyDescent="0.2">
      <c r="A161" t="s">
        <v>240</v>
      </c>
      <c r="B161" t="s">
        <v>112</v>
      </c>
      <c r="C161" t="s">
        <v>247</v>
      </c>
      <c r="D161" t="s">
        <v>246</v>
      </c>
      <c r="E161" s="71">
        <v>2.5930405E-2</v>
      </c>
      <c r="F161" s="71">
        <v>2.5906563000000001E-2</v>
      </c>
      <c r="G161" s="71">
        <v>2.5848985000000001E-2</v>
      </c>
      <c r="H161" s="71">
        <v>2.5767326E-2</v>
      </c>
      <c r="I161" s="71">
        <v>2.5711893999999999E-2</v>
      </c>
      <c r="J161" s="71">
        <v>2.5674223999999999E-2</v>
      </c>
      <c r="K161" s="71">
        <v>2.5647878999999998E-2</v>
      </c>
      <c r="L161" s="71">
        <v>8.6736560000000001E-3</v>
      </c>
      <c r="M161" s="71">
        <v>9.6736270000000006E-3</v>
      </c>
      <c r="N161" s="71">
        <v>8.7575080000000007E-3</v>
      </c>
      <c r="O161" s="71">
        <v>6.822776E-3</v>
      </c>
      <c r="P161" s="71">
        <v>5.6115979999999998E-3</v>
      </c>
      <c r="Q161" s="71">
        <v>4.6241620000000002E-3</v>
      </c>
      <c r="R161" s="71">
        <v>3.5425980000000001E-3</v>
      </c>
      <c r="S161" s="71">
        <v>4.3725906000000002E-2</v>
      </c>
      <c r="T161" s="71">
        <v>4.2352273000000003E-2</v>
      </c>
      <c r="U161" s="71">
        <v>4.3096265000000002E-2</v>
      </c>
      <c r="V161" s="71">
        <v>4.4881859000000003E-2</v>
      </c>
      <c r="W161" s="71">
        <v>4.6384437000000001E-2</v>
      </c>
      <c r="X161" s="71">
        <v>4.7510766000000003E-2</v>
      </c>
      <c r="Y161" s="71">
        <v>4.8315320000000002E-2</v>
      </c>
      <c r="Z161" s="71">
        <v>1.5684395E-2</v>
      </c>
      <c r="AA161" s="71">
        <v>1.514454E-2</v>
      </c>
      <c r="AB161" s="71">
        <v>1.2873651E-2</v>
      </c>
      <c r="AC161" s="71">
        <v>8.2826470000000006E-3</v>
      </c>
      <c r="AD161" s="71">
        <v>6.3617639999999998E-3</v>
      </c>
      <c r="AE161" s="71">
        <v>4.6421980000000002E-3</v>
      </c>
      <c r="AF161" s="71">
        <v>3.6701569999999998E-3</v>
      </c>
      <c r="AG161" s="71">
        <v>3.6280008000000002E-2</v>
      </c>
      <c r="AH161" s="71">
        <v>3.6782740000000001E-2</v>
      </c>
      <c r="AI161" s="71">
        <v>3.8990547E-2</v>
      </c>
      <c r="AJ161" s="71">
        <v>4.3555251000000003E-2</v>
      </c>
      <c r="AK161" s="71">
        <v>4.5433940999999999E-2</v>
      </c>
      <c r="AL161" s="71">
        <v>4.7146595999999999E-2</v>
      </c>
      <c r="AM161" s="71">
        <v>4.8106848000000001E-2</v>
      </c>
      <c r="AN161" s="71">
        <v>4.7574429000000001E-2</v>
      </c>
      <c r="AO161" s="71">
        <v>0.70699868499999996</v>
      </c>
      <c r="AP161" s="71">
        <v>3.8253927E-2</v>
      </c>
    </row>
    <row r="162" spans="1:42" x14ac:dyDescent="0.2">
      <c r="A162" t="s">
        <v>240</v>
      </c>
      <c r="B162" t="s">
        <v>112</v>
      </c>
      <c r="C162" t="s">
        <v>339</v>
      </c>
      <c r="D162" t="s">
        <v>245</v>
      </c>
      <c r="E162" s="71">
        <v>3.0221224000000001E-2</v>
      </c>
      <c r="F162" s="71">
        <v>2.9900311999999998E-2</v>
      </c>
      <c r="G162" s="71">
        <v>2.9128431999999999E-2</v>
      </c>
      <c r="H162" s="71">
        <v>2.8035997999999999E-2</v>
      </c>
      <c r="I162" s="71">
        <v>2.7294636000000001E-2</v>
      </c>
      <c r="J162" s="71">
        <v>2.6793838E-2</v>
      </c>
      <c r="K162" s="71">
        <v>2.6443362000000002E-2</v>
      </c>
      <c r="L162" s="71">
        <v>1.0184143999999999E-2</v>
      </c>
      <c r="M162" s="71">
        <v>1.1165448999999999E-2</v>
      </c>
      <c r="N162" s="71">
        <v>8.8289700000000002E-3</v>
      </c>
      <c r="O162" s="71">
        <v>5.5834930000000001E-3</v>
      </c>
      <c r="P162" s="71">
        <v>3.8980619999999999E-3</v>
      </c>
      <c r="Q162" s="71">
        <v>2.546965E-3</v>
      </c>
      <c r="R162" s="71">
        <v>1.8365390000000001E-3</v>
      </c>
      <c r="S162" s="71">
        <v>5.1093682000000001E-2</v>
      </c>
      <c r="T162" s="71">
        <v>4.9331130000000001E-2</v>
      </c>
      <c r="U162" s="71">
        <v>5.0031034000000002E-2</v>
      </c>
      <c r="V162" s="71">
        <v>5.0705147999999998E-2</v>
      </c>
      <c r="W162" s="71">
        <v>5.1294887999999997E-2</v>
      </c>
      <c r="X162" s="71">
        <v>5.1523804999999999E-2</v>
      </c>
      <c r="Y162" s="71">
        <v>5.1739709000000002E-2</v>
      </c>
      <c r="Z162" s="71">
        <v>1.8925493000000002E-2</v>
      </c>
      <c r="AA162" s="71">
        <v>1.7886635000000001E-2</v>
      </c>
      <c r="AB162" s="71">
        <v>1.3243056E-2</v>
      </c>
      <c r="AC162" s="71">
        <v>6.9914019999999999E-3</v>
      </c>
      <c r="AD162" s="71">
        <v>3.6039520000000001E-3</v>
      </c>
      <c r="AE162" s="71">
        <v>3.4777549999999999E-3</v>
      </c>
      <c r="AF162" s="71">
        <v>3.8066689999999999E-3</v>
      </c>
      <c r="AG162" s="71">
        <v>4.1641979000000003E-2</v>
      </c>
      <c r="AH162" s="71">
        <v>4.2055695999999997E-2</v>
      </c>
      <c r="AI162" s="71">
        <v>4.5262851E-2</v>
      </c>
      <c r="AJ162" s="71">
        <v>4.9520569E-2</v>
      </c>
      <c r="AK162" s="71">
        <v>5.1544566E-2</v>
      </c>
      <c r="AL162" s="71">
        <v>5.0651781E-2</v>
      </c>
      <c r="AM162" s="71">
        <v>4.9590572999999999E-2</v>
      </c>
      <c r="AN162" s="71">
        <v>5.2684355000000002E-2</v>
      </c>
      <c r="AO162" s="71">
        <v>0.461446464</v>
      </c>
      <c r="AP162" s="71">
        <v>0.27432769499999998</v>
      </c>
    </row>
    <row r="163" spans="1:42" x14ac:dyDescent="0.2">
      <c r="A163" t="s">
        <v>272</v>
      </c>
      <c r="B163" t="s">
        <v>112</v>
      </c>
      <c r="C163" t="s">
        <v>280</v>
      </c>
      <c r="D163" t="s">
        <v>279</v>
      </c>
      <c r="E163" s="71">
        <v>2.5000333999999999E-2</v>
      </c>
      <c r="F163" s="71">
        <v>2.6869892999999999E-2</v>
      </c>
      <c r="G163" s="71">
        <v>3.1265378000000003E-2</v>
      </c>
      <c r="H163" s="71">
        <v>3.7326932E-2</v>
      </c>
      <c r="I163" s="71">
        <v>4.1362642999999998E-2</v>
      </c>
      <c r="J163" s="71">
        <v>4.4063567999999997E-2</v>
      </c>
      <c r="K163" s="71">
        <v>4.5947433000000003E-2</v>
      </c>
      <c r="L163" s="71">
        <v>-7.3668809999999996E-3</v>
      </c>
      <c r="M163" s="71">
        <v>-3.540564E-3</v>
      </c>
      <c r="N163" s="72" t="s">
        <v>440</v>
      </c>
      <c r="O163" s="71">
        <v>4.9761279999999998E-3</v>
      </c>
      <c r="P163" s="71">
        <v>9.4124550000000001E-3</v>
      </c>
      <c r="Q163" s="71">
        <v>1.363488E-2</v>
      </c>
      <c r="R163" s="71">
        <v>1.6690706999999999E-2</v>
      </c>
      <c r="S163" s="71">
        <v>5.8415728E-2</v>
      </c>
      <c r="T163" s="71">
        <v>5.8536546000000002E-2</v>
      </c>
      <c r="U163" s="71">
        <v>6.3775437000000004E-2</v>
      </c>
      <c r="V163" s="71">
        <v>7.0611937E-2</v>
      </c>
      <c r="W163" s="71">
        <v>7.4038697000000001E-2</v>
      </c>
      <c r="X163" s="71">
        <v>7.5525052999999995E-2</v>
      </c>
      <c r="Y163" s="71">
        <v>7.5911055000000005E-2</v>
      </c>
      <c r="Z163" s="71">
        <v>4.4731550000000004E-3</v>
      </c>
      <c r="AA163" s="71">
        <v>4.8270020000000004E-3</v>
      </c>
      <c r="AB163" s="71">
        <v>4.0411809999999996E-3</v>
      </c>
      <c r="AC163" s="71">
        <v>8.8808480000000002E-3</v>
      </c>
      <c r="AD163" s="71">
        <v>1.2691401999999999E-2</v>
      </c>
      <c r="AE163" s="71">
        <v>1.6425272000000001E-2</v>
      </c>
      <c r="AF163" s="71">
        <v>1.9441072E-2</v>
      </c>
      <c r="AG163" s="71">
        <v>4.5648968999999998E-2</v>
      </c>
      <c r="AH163" s="71">
        <v>4.9114207999999999E-2</v>
      </c>
      <c r="AI163" s="71">
        <v>5.8984745999999998E-2</v>
      </c>
      <c r="AJ163" s="71">
        <v>6.6389883999999996E-2</v>
      </c>
      <c r="AK163" s="71">
        <v>7.0700094000000005E-2</v>
      </c>
      <c r="AL163" s="71">
        <v>7.2335254000000002E-2</v>
      </c>
      <c r="AM163" s="71">
        <v>7.3043797999999993E-2</v>
      </c>
      <c r="AN163" s="71">
        <v>8.3424307000000003E-2</v>
      </c>
      <c r="AO163" s="71">
        <v>0.75564558100000001</v>
      </c>
      <c r="AP163" s="71">
        <v>0.238903542</v>
      </c>
    </row>
    <row r="164" spans="1:42" x14ac:dyDescent="0.2">
      <c r="A164" t="s">
        <v>138</v>
      </c>
      <c r="B164" t="s">
        <v>112</v>
      </c>
      <c r="C164" t="s">
        <v>116</v>
      </c>
      <c r="D164" t="s">
        <v>115</v>
      </c>
      <c r="E164" s="71">
        <v>5.2954316000000001E-2</v>
      </c>
      <c r="F164" s="71">
        <v>5.2714705000000001E-2</v>
      </c>
      <c r="G164" s="75">
        <v>5.2082418999999998E-2</v>
      </c>
      <c r="H164" s="71">
        <v>5.1051617000000001E-2</v>
      </c>
      <c r="I164" s="71">
        <v>5.0236702000000001E-2</v>
      </c>
      <c r="J164" s="71">
        <v>4.9618124999999999E-2</v>
      </c>
      <c r="K164" s="71">
        <v>4.9147128999999998E-2</v>
      </c>
      <c r="L164" s="71">
        <v>2.1083033000000001E-2</v>
      </c>
      <c r="M164" s="71">
        <v>2.4430084000000001E-2</v>
      </c>
      <c r="N164" s="71">
        <v>2.6109727999999999E-2</v>
      </c>
      <c r="O164" s="71">
        <v>2.7014862000000001E-2</v>
      </c>
      <c r="P164" s="71">
        <v>2.6896415999999999E-2</v>
      </c>
      <c r="Q164" s="71">
        <v>2.7479343E-2</v>
      </c>
      <c r="R164" s="71">
        <v>2.7758389000000001E-2</v>
      </c>
      <c r="S164" s="71">
        <v>8.5726701000000002E-2</v>
      </c>
      <c r="T164" s="71">
        <v>8.1860419000000004E-2</v>
      </c>
      <c r="U164" s="71">
        <v>7.8518427000000002E-2</v>
      </c>
      <c r="V164" s="71">
        <v>7.5469574999999997E-2</v>
      </c>
      <c r="W164" s="71">
        <v>7.4074481999999997E-2</v>
      </c>
      <c r="X164" s="71">
        <v>7.2085807000000002E-2</v>
      </c>
      <c r="Y164" s="71">
        <v>7.0669492E-2</v>
      </c>
      <c r="Z164" s="71">
        <v>3.8290664000000002E-2</v>
      </c>
      <c r="AA164" s="71">
        <v>3.8265568E-2</v>
      </c>
      <c r="AB164" s="71">
        <v>3.5723103999999999E-2</v>
      </c>
      <c r="AC164" s="71">
        <v>3.3120336E-2</v>
      </c>
      <c r="AD164" s="71">
        <v>3.2079060999999999E-2</v>
      </c>
      <c r="AE164" s="71">
        <v>3.0732064E-2</v>
      </c>
      <c r="AF164" s="71">
        <v>3.0503141000000001E-2</v>
      </c>
      <c r="AG164" s="71">
        <v>6.7825281000000001E-2</v>
      </c>
      <c r="AH164" s="71">
        <v>6.7365035000000004E-2</v>
      </c>
      <c r="AI164" s="71">
        <v>6.8700089000000006E-2</v>
      </c>
      <c r="AJ164" s="71">
        <v>6.9294038000000002E-2</v>
      </c>
      <c r="AK164" s="71">
        <v>6.8713838999999999E-2</v>
      </c>
      <c r="AL164" s="71">
        <v>6.8850274000000003E-2</v>
      </c>
      <c r="AM164" s="71">
        <v>6.8128441999999997E-2</v>
      </c>
      <c r="AN164" s="71">
        <v>9.1510709999999995E-2</v>
      </c>
      <c r="AO164" s="71">
        <v>0.32206488999999999</v>
      </c>
      <c r="AP164" s="71">
        <v>0.49491371699999998</v>
      </c>
    </row>
    <row r="165" spans="1:42" x14ac:dyDescent="0.2">
      <c r="A165" t="s">
        <v>240</v>
      </c>
      <c r="B165" t="s">
        <v>112</v>
      </c>
      <c r="C165" t="s">
        <v>116</v>
      </c>
      <c r="D165" t="s">
        <v>115</v>
      </c>
      <c r="E165" s="71">
        <v>3.8421630999999998E-2</v>
      </c>
      <c r="F165" s="71">
        <v>3.8292050000000001E-2</v>
      </c>
      <c r="G165" s="71">
        <v>3.7980079999999999E-2</v>
      </c>
      <c r="H165" s="71">
        <v>3.7538409000000002E-2</v>
      </c>
      <c r="I165" s="71">
        <v>3.7238358999999999E-2</v>
      </c>
      <c r="J165" s="71">
        <v>3.7035584000000003E-2</v>
      </c>
      <c r="K165" s="71">
        <v>3.6893725000000002E-2</v>
      </c>
      <c r="L165" s="71">
        <v>9.8203790000000006E-3</v>
      </c>
      <c r="M165" s="71">
        <v>1.2778662E-2</v>
      </c>
      <c r="N165" s="71">
        <v>1.4784939E-2</v>
      </c>
      <c r="O165" s="71">
        <v>1.5158632E-2</v>
      </c>
      <c r="P165" s="71">
        <v>1.517365E-2</v>
      </c>
      <c r="Q165" s="71">
        <v>1.4572811E-2</v>
      </c>
      <c r="R165" s="71">
        <v>1.3760478E-2</v>
      </c>
      <c r="S165" s="71">
        <v>6.7692618999999996E-2</v>
      </c>
      <c r="T165" s="71">
        <v>6.4263343000000001E-2</v>
      </c>
      <c r="U165" s="71">
        <v>6.1857523999999997E-2</v>
      </c>
      <c r="V165" s="71">
        <v>6.0259879000000002E-2</v>
      </c>
      <c r="W165" s="71">
        <v>5.9592434999999999E-2</v>
      </c>
      <c r="X165" s="71">
        <v>5.9969946000000003E-2</v>
      </c>
      <c r="Y165" s="71">
        <v>6.0728616999999999E-2</v>
      </c>
      <c r="Z165" s="71">
        <v>2.2510912000000001E-2</v>
      </c>
      <c r="AA165" s="71">
        <v>2.2694657999999999E-2</v>
      </c>
      <c r="AB165" s="71">
        <v>2.1294629999999998E-2</v>
      </c>
      <c r="AC165" s="71">
        <v>1.9135163E-2</v>
      </c>
      <c r="AD165" s="71">
        <v>1.8387957999999999E-2</v>
      </c>
      <c r="AE165" s="71">
        <v>1.7925994000000001E-2</v>
      </c>
      <c r="AF165" s="71">
        <v>1.6990736999999999E-2</v>
      </c>
      <c r="AG165" s="71">
        <v>5.4579953E-2</v>
      </c>
      <c r="AH165" s="71">
        <v>5.4127266E-2</v>
      </c>
      <c r="AI165" s="71">
        <v>5.4938171000000001E-2</v>
      </c>
      <c r="AJ165" s="71">
        <v>5.6273919999999998E-2</v>
      </c>
      <c r="AK165" s="71">
        <v>5.6437682000000003E-2</v>
      </c>
      <c r="AL165" s="71">
        <v>5.6503988999999998E-2</v>
      </c>
      <c r="AM165" s="71">
        <v>5.7186044999999998E-2</v>
      </c>
      <c r="AN165" s="71">
        <v>7.5222760999999999E-2</v>
      </c>
      <c r="AO165" s="71">
        <v>8.9779934000000006E-2</v>
      </c>
      <c r="AP165" s="71">
        <v>0.27774887799999998</v>
      </c>
    </row>
    <row r="166" spans="1:42" x14ac:dyDescent="0.2">
      <c r="A166" t="s">
        <v>224</v>
      </c>
      <c r="B166" t="s">
        <v>112</v>
      </c>
      <c r="C166" t="s">
        <v>116</v>
      </c>
      <c r="D166" t="s">
        <v>115</v>
      </c>
      <c r="E166" s="71">
        <v>4.2644501000000001E-2</v>
      </c>
      <c r="F166" s="71">
        <v>4.2597055000000002E-2</v>
      </c>
      <c r="G166" s="71">
        <v>4.2368054000000002E-2</v>
      </c>
      <c r="H166" s="71">
        <v>4.1763544E-2</v>
      </c>
      <c r="I166" s="71">
        <v>4.1115046000000002E-2</v>
      </c>
      <c r="J166" s="71">
        <v>4.0535450000000001E-2</v>
      </c>
      <c r="K166" s="71">
        <v>4.0050625999999999E-2</v>
      </c>
      <c r="L166" s="71">
        <v>9.2021329999999995E-3</v>
      </c>
      <c r="M166" s="71">
        <v>1.2730763000000001E-2</v>
      </c>
      <c r="N166" s="71">
        <v>1.5809388000000001E-2</v>
      </c>
      <c r="O166" s="71">
        <v>1.7838659999999999E-2</v>
      </c>
      <c r="P166" s="71">
        <v>1.8912049E-2</v>
      </c>
      <c r="Q166" s="71">
        <v>1.9384386E-2</v>
      </c>
      <c r="R166" s="71">
        <v>2.0337111000000001E-2</v>
      </c>
      <c r="S166" s="71">
        <v>7.8013786000000002E-2</v>
      </c>
      <c r="T166" s="71">
        <v>7.3542697000000004E-2</v>
      </c>
      <c r="U166" s="71">
        <v>6.9685347999999994E-2</v>
      </c>
      <c r="V166" s="71">
        <v>6.6842011000000007E-2</v>
      </c>
      <c r="W166" s="71">
        <v>6.4022932000000005E-2</v>
      </c>
      <c r="X166" s="71">
        <v>6.1552905999999998E-2</v>
      </c>
      <c r="Y166" s="71">
        <v>6.0223437999999997E-2</v>
      </c>
      <c r="Z166" s="71">
        <v>2.508666E-2</v>
      </c>
      <c r="AA166" s="71">
        <v>2.5403703999999999E-2</v>
      </c>
      <c r="AB166" s="71">
        <v>2.4958622E-2</v>
      </c>
      <c r="AC166" s="71">
        <v>2.454872E-2</v>
      </c>
      <c r="AD166" s="71">
        <v>2.3832142000000001E-2</v>
      </c>
      <c r="AE166" s="71">
        <v>2.4103804E-2</v>
      </c>
      <c r="AF166" s="71">
        <v>2.3867499E-2</v>
      </c>
      <c r="AG166" s="71">
        <v>6.0503308999999998E-2</v>
      </c>
      <c r="AH166" s="71">
        <v>6.0078866000000002E-2</v>
      </c>
      <c r="AI166" s="71">
        <v>6.0073188E-2</v>
      </c>
      <c r="AJ166" s="71">
        <v>5.9267646E-2</v>
      </c>
      <c r="AK166" s="71">
        <v>5.8689637000000003E-2</v>
      </c>
      <c r="AL166" s="71">
        <v>5.7230723999999997E-2</v>
      </c>
      <c r="AM166" s="71">
        <v>5.6489627000000001E-2</v>
      </c>
      <c r="AN166" s="71">
        <v>9.1069926999999995E-2</v>
      </c>
      <c r="AO166" s="71">
        <v>0.27572353799999999</v>
      </c>
      <c r="AP166" s="71">
        <v>0.19816524099999999</v>
      </c>
    </row>
    <row r="167" spans="1:42" x14ac:dyDescent="0.2">
      <c r="A167" t="s">
        <v>200</v>
      </c>
      <c r="B167" t="s">
        <v>112</v>
      </c>
      <c r="C167" t="s">
        <v>336</v>
      </c>
      <c r="D167" t="s">
        <v>115</v>
      </c>
      <c r="E167" s="71">
        <v>1.8328905E-2</v>
      </c>
      <c r="F167" s="71">
        <v>1.8886088999999998E-2</v>
      </c>
      <c r="G167" s="71">
        <v>2.0046352999999999E-2</v>
      </c>
      <c r="H167" s="71">
        <v>2.1441102E-2</v>
      </c>
      <c r="I167" s="71">
        <v>2.2284149999999999E-2</v>
      </c>
      <c r="J167" s="71">
        <v>2.2825122E-2</v>
      </c>
      <c r="K167" s="71">
        <v>2.3195744000000001E-2</v>
      </c>
      <c r="L167" s="71">
        <v>-2.0754149E-2</v>
      </c>
      <c r="M167" s="71">
        <v>-1.4570545000000001E-2</v>
      </c>
      <c r="N167" s="71">
        <v>-1.0069768E-2</v>
      </c>
      <c r="O167" s="71">
        <v>-4.8822709999999997E-3</v>
      </c>
      <c r="P167" s="71">
        <v>-2.5098109999999998E-3</v>
      </c>
      <c r="Q167" s="72" t="s">
        <v>441</v>
      </c>
      <c r="R167" s="71">
        <v>2.2477389999999999E-3</v>
      </c>
      <c r="S167" s="71">
        <v>5.8081304E-2</v>
      </c>
      <c r="T167" s="71">
        <v>5.2756297000000001E-2</v>
      </c>
      <c r="U167" s="71">
        <v>5.0641147999999997E-2</v>
      </c>
      <c r="V167" s="71">
        <v>4.8979831000000001E-2</v>
      </c>
      <c r="W167" s="71">
        <v>4.7245633000000002E-2</v>
      </c>
      <c r="X167" s="71">
        <v>4.5996282999999999E-2</v>
      </c>
      <c r="Y167" s="71">
        <v>4.4851119000000002E-2</v>
      </c>
      <c r="Z167" s="71">
        <v>-5.0570200000000002E-4</v>
      </c>
      <c r="AA167" s="71">
        <v>4.9297399999999997E-4</v>
      </c>
      <c r="AB167" s="71">
        <v>1.722555E-3</v>
      </c>
      <c r="AC167" s="71">
        <v>4.0707310000000002E-3</v>
      </c>
      <c r="AD167" s="71">
        <v>4.3424780000000003E-3</v>
      </c>
      <c r="AE167" s="71">
        <v>5.746564E-3</v>
      </c>
      <c r="AF167" s="71">
        <v>6.9555119999999996E-3</v>
      </c>
      <c r="AG167" s="71">
        <v>3.7518501000000003E-2</v>
      </c>
      <c r="AH167" s="71">
        <v>3.7617390000000001E-2</v>
      </c>
      <c r="AI167" s="71">
        <v>3.8705424000000002E-2</v>
      </c>
      <c r="AJ167" s="71">
        <v>3.9111777E-2</v>
      </c>
      <c r="AK167" s="71">
        <v>4.0546525E-2</v>
      </c>
      <c r="AL167" s="71">
        <v>4.0193832999999998E-2</v>
      </c>
      <c r="AM167" s="71">
        <v>3.9697749999999997E-2</v>
      </c>
      <c r="AN167" s="71">
        <v>0.108482517</v>
      </c>
      <c r="AO167" s="71">
        <v>-0.129646181</v>
      </c>
      <c r="AP167" s="71">
        <v>0.51857899699999999</v>
      </c>
    </row>
    <row r="168" spans="1:42" x14ac:dyDescent="0.2">
      <c r="A168" t="s">
        <v>259</v>
      </c>
      <c r="B168" t="s">
        <v>112</v>
      </c>
      <c r="C168" t="s">
        <v>336</v>
      </c>
      <c r="D168" t="s">
        <v>115</v>
      </c>
      <c r="E168" s="71">
        <v>4.1850327999999999E-2</v>
      </c>
      <c r="F168" s="71">
        <v>4.1482448999999998E-2</v>
      </c>
      <c r="G168" s="71">
        <v>4.0369390999999998E-2</v>
      </c>
      <c r="H168" s="71">
        <v>3.8398504E-2</v>
      </c>
      <c r="I168" s="71">
        <v>3.6844729999999999E-2</v>
      </c>
      <c r="J168" s="71">
        <v>3.5718321999999997E-2</v>
      </c>
      <c r="K168" s="71">
        <v>3.4903525999999997E-2</v>
      </c>
      <c r="L168" s="71">
        <v>9.6566039999999992E-3</v>
      </c>
      <c r="M168" s="71">
        <v>1.2480424E-2</v>
      </c>
      <c r="N168" s="71">
        <v>1.4494577999999999E-2</v>
      </c>
      <c r="O168" s="71">
        <v>1.4933286E-2</v>
      </c>
      <c r="P168" s="71">
        <v>1.5324309E-2</v>
      </c>
      <c r="Q168" s="71">
        <v>1.5868073E-2</v>
      </c>
      <c r="R168" s="71">
        <v>1.6553795E-2</v>
      </c>
      <c r="S168" s="71">
        <v>7.5353184000000004E-2</v>
      </c>
      <c r="T168" s="71">
        <v>7.0987852000000004E-2</v>
      </c>
      <c r="U168" s="71">
        <v>6.6928390000000004E-2</v>
      </c>
      <c r="V168" s="71">
        <v>6.2207661999999997E-2</v>
      </c>
      <c r="W168" s="71">
        <v>5.8524060000000003E-2</v>
      </c>
      <c r="X168" s="71">
        <v>5.5949936999999998E-2</v>
      </c>
      <c r="Y168" s="71">
        <v>5.3882061000000002E-2</v>
      </c>
      <c r="Z168" s="71">
        <v>2.4325962999999999E-2</v>
      </c>
      <c r="AA168" s="71">
        <v>2.4525226000000001E-2</v>
      </c>
      <c r="AB168" s="71">
        <v>2.2869918999999999E-2</v>
      </c>
      <c r="AC168" s="71">
        <v>2.1300311999999998E-2</v>
      </c>
      <c r="AD168" s="71">
        <v>1.9933974E-2</v>
      </c>
      <c r="AE168" s="71">
        <v>1.9354314000000001E-2</v>
      </c>
      <c r="AF168" s="71">
        <v>1.9470168999999999E-2</v>
      </c>
      <c r="AG168" s="71">
        <v>5.9674461999999998E-2</v>
      </c>
      <c r="AH168" s="71">
        <v>5.8720330000000001E-2</v>
      </c>
      <c r="AI168" s="71">
        <v>5.8168207E-2</v>
      </c>
      <c r="AJ168" s="71">
        <v>5.5782803999999998E-2</v>
      </c>
      <c r="AK168" s="71">
        <v>5.4035870999999999E-2</v>
      </c>
      <c r="AL168" s="71">
        <v>5.2345063999999997E-2</v>
      </c>
      <c r="AM168" s="71">
        <v>5.0570656999999998E-2</v>
      </c>
      <c r="AN168" s="71">
        <v>8.6573474999999997E-2</v>
      </c>
      <c r="AO168" s="71">
        <v>3.1703073999999998E-2</v>
      </c>
      <c r="AP168" s="71">
        <v>0.373822341</v>
      </c>
    </row>
    <row r="169" spans="1:42" x14ac:dyDescent="0.2">
      <c r="A169" t="s">
        <v>288</v>
      </c>
      <c r="B169" t="s">
        <v>112</v>
      </c>
      <c r="C169" t="s">
        <v>116</v>
      </c>
      <c r="D169" t="s">
        <v>115</v>
      </c>
      <c r="E169" s="71">
        <v>5.0136089000000002E-2</v>
      </c>
      <c r="F169" s="71">
        <v>5.0207256999999998E-2</v>
      </c>
      <c r="G169" s="71">
        <v>5.0368309E-2</v>
      </c>
      <c r="H169" s="71">
        <v>5.0585508000000001E-2</v>
      </c>
      <c r="I169" s="71">
        <v>5.0729631999999997E-2</v>
      </c>
      <c r="J169" s="71">
        <v>5.0826310999999999E-2</v>
      </c>
      <c r="K169" s="71">
        <v>5.0893783999999997E-2</v>
      </c>
      <c r="L169" s="71">
        <v>2.0456884000000002E-2</v>
      </c>
      <c r="M169" s="71">
        <v>2.3440775E-2</v>
      </c>
      <c r="N169" s="71">
        <v>2.6174352000000001E-2</v>
      </c>
      <c r="O169" s="71">
        <v>2.8796021000000002E-2</v>
      </c>
      <c r="P169" s="71">
        <v>3.0945212E-2</v>
      </c>
      <c r="Q169" s="71">
        <v>3.2956984000000002E-2</v>
      </c>
      <c r="R169" s="71">
        <v>3.3902900999999999E-2</v>
      </c>
      <c r="S169" s="71">
        <v>8.1189197000000005E-2</v>
      </c>
      <c r="T169" s="71">
        <v>7.8137724000000006E-2</v>
      </c>
      <c r="U169" s="71">
        <v>7.5618566999999998E-2</v>
      </c>
      <c r="V169" s="71">
        <v>7.2677974000000006E-2</v>
      </c>
      <c r="W169" s="71">
        <v>7.0553164000000002E-2</v>
      </c>
      <c r="X169" s="71">
        <v>6.9263557000000003E-2</v>
      </c>
      <c r="Y169" s="71">
        <v>6.7923604999999998E-2</v>
      </c>
      <c r="Z169" s="71">
        <v>3.2163571000000002E-2</v>
      </c>
      <c r="AA169" s="71">
        <v>3.2822513999999997E-2</v>
      </c>
      <c r="AB169" s="71">
        <v>3.3402650999999998E-2</v>
      </c>
      <c r="AC169" s="71">
        <v>3.4357304999999998E-2</v>
      </c>
      <c r="AD169" s="71">
        <v>3.5619112000000001E-2</v>
      </c>
      <c r="AE169" s="71">
        <v>3.5900293E-2</v>
      </c>
      <c r="AF169" s="71">
        <v>3.6703749000000001E-2</v>
      </c>
      <c r="AG169" s="71">
        <v>6.8421640000000006E-2</v>
      </c>
      <c r="AH169" s="71">
        <v>6.7884760000000002E-2</v>
      </c>
      <c r="AI169" s="71">
        <v>6.7612395000000006E-2</v>
      </c>
      <c r="AJ169" s="71">
        <v>6.7068249999999996E-2</v>
      </c>
      <c r="AK169" s="71">
        <v>6.6060631999999994E-2</v>
      </c>
      <c r="AL169" s="71">
        <v>6.5967302000000005E-2</v>
      </c>
      <c r="AM169" s="71">
        <v>6.5277905999999997E-2</v>
      </c>
      <c r="AN169" s="71">
        <v>7.9026271999999995E-2</v>
      </c>
      <c r="AO169" s="71">
        <v>0.25475110099999998</v>
      </c>
      <c r="AP169" s="71">
        <v>0.23324848200000001</v>
      </c>
    </row>
    <row r="170" spans="1:42" x14ac:dyDescent="0.2">
      <c r="A170" t="s">
        <v>272</v>
      </c>
      <c r="B170" t="s">
        <v>112</v>
      </c>
      <c r="C170" t="s">
        <v>116</v>
      </c>
      <c r="D170" t="s">
        <v>115</v>
      </c>
      <c r="E170" s="71">
        <v>3.3848404999999998E-2</v>
      </c>
      <c r="F170" s="71">
        <v>3.4646748999999998E-2</v>
      </c>
      <c r="G170" s="71">
        <v>3.6452413000000003E-2</v>
      </c>
      <c r="H170" s="71">
        <v>3.8818598000000003E-2</v>
      </c>
      <c r="I170" s="71">
        <v>4.0326833999999999E-2</v>
      </c>
      <c r="J170" s="71">
        <v>4.1312455999999997E-2</v>
      </c>
      <c r="K170" s="71">
        <v>4.1991591000000002E-2</v>
      </c>
      <c r="L170" s="71">
        <v>4.8561990000000003E-3</v>
      </c>
      <c r="M170" s="71">
        <v>8.2429080000000002E-3</v>
      </c>
      <c r="N170" s="71">
        <v>1.2625513999999999E-2</v>
      </c>
      <c r="O170" s="71">
        <v>1.7348414E-2</v>
      </c>
      <c r="P170" s="71">
        <v>2.0757184000000001E-2</v>
      </c>
      <c r="Q170" s="71">
        <v>2.2919245000000001E-2</v>
      </c>
      <c r="R170" s="71">
        <v>2.4647687000000001E-2</v>
      </c>
      <c r="S170" s="71">
        <v>6.4006109000000005E-2</v>
      </c>
      <c r="T170" s="71">
        <v>6.1383984000000003E-2</v>
      </c>
      <c r="U170" s="71">
        <v>6.0733310999999998E-2</v>
      </c>
      <c r="V170" s="71">
        <v>6.0501140000000002E-2</v>
      </c>
      <c r="W170" s="71">
        <v>6.0171523999999997E-2</v>
      </c>
      <c r="X170" s="71">
        <v>5.9811297999999999E-2</v>
      </c>
      <c r="Y170" s="71">
        <v>5.9457680999999998E-2</v>
      </c>
      <c r="Z170" s="71">
        <v>1.6524422E-2</v>
      </c>
      <c r="AA170" s="71">
        <v>1.8063725999999999E-2</v>
      </c>
      <c r="AB170" s="71">
        <v>2.0303708E-2</v>
      </c>
      <c r="AC170" s="71">
        <v>2.3073120999999999E-2</v>
      </c>
      <c r="AD170" s="71">
        <v>2.5398606000000001E-2</v>
      </c>
      <c r="AE170" s="71">
        <v>2.696726E-2</v>
      </c>
      <c r="AF170" s="71">
        <v>2.8238494999999999E-2</v>
      </c>
      <c r="AG170" s="71">
        <v>5.1467511000000001E-2</v>
      </c>
      <c r="AH170" s="71">
        <v>5.1499879999999998E-2</v>
      </c>
      <c r="AI170" s="71">
        <v>5.2856841000000002E-2</v>
      </c>
      <c r="AJ170" s="71">
        <v>5.4806413999999998E-2</v>
      </c>
      <c r="AK170" s="71">
        <v>5.5472280999999998E-2</v>
      </c>
      <c r="AL170" s="71">
        <v>5.585797E-2</v>
      </c>
      <c r="AM170" s="71">
        <v>5.5928749999999999E-2</v>
      </c>
      <c r="AN170" s="71">
        <v>7.6925166000000003E-2</v>
      </c>
      <c r="AO170" s="71">
        <v>0.411602209</v>
      </c>
      <c r="AP170" s="71">
        <v>0.24628060500000001</v>
      </c>
    </row>
    <row r="171" spans="1:42" x14ac:dyDescent="0.2">
      <c r="A171" t="s">
        <v>178</v>
      </c>
      <c r="B171" t="s">
        <v>112</v>
      </c>
      <c r="C171" t="s">
        <v>116</v>
      </c>
      <c r="D171" t="s">
        <v>115</v>
      </c>
      <c r="E171" s="71">
        <v>3.9841293999999999E-2</v>
      </c>
      <c r="F171" s="71">
        <v>4.0830255000000003E-2</v>
      </c>
      <c r="G171" s="71">
        <v>4.2897104999999998E-2</v>
      </c>
      <c r="H171" s="71">
        <v>4.5421599999999999E-2</v>
      </c>
      <c r="I171" s="71">
        <v>4.6979547000000003E-2</v>
      </c>
      <c r="J171" s="71">
        <v>4.7991394999999999E-2</v>
      </c>
      <c r="K171" s="71">
        <v>4.8688531E-2</v>
      </c>
      <c r="L171" s="71">
        <v>4.714223E-3</v>
      </c>
      <c r="M171" s="71">
        <v>9.7094309999999993E-3</v>
      </c>
      <c r="N171" s="71">
        <v>1.5455333E-2</v>
      </c>
      <c r="O171" s="71">
        <v>2.0499448999999999E-2</v>
      </c>
      <c r="P171" s="71">
        <v>2.4570135E-2</v>
      </c>
      <c r="Q171" s="71">
        <v>2.7018522E-2</v>
      </c>
      <c r="R171" s="71">
        <v>2.9002692E-2</v>
      </c>
      <c r="S171" s="71">
        <v>7.6579653999999997E-2</v>
      </c>
      <c r="T171" s="71">
        <v>7.3284130000000003E-2</v>
      </c>
      <c r="U171" s="71">
        <v>7.1350306000000002E-2</v>
      </c>
      <c r="V171" s="71">
        <v>7.0676563999999997E-2</v>
      </c>
      <c r="W171" s="71">
        <v>7.0048539000000007E-2</v>
      </c>
      <c r="X171" s="71">
        <v>6.9347423000000005E-2</v>
      </c>
      <c r="Y171" s="71">
        <v>6.8780793000000007E-2</v>
      </c>
      <c r="Z171" s="71">
        <v>2.0206819000000001E-2</v>
      </c>
      <c r="AA171" s="71">
        <v>2.1925294000000001E-2</v>
      </c>
      <c r="AB171" s="71">
        <v>2.3775393999999998E-2</v>
      </c>
      <c r="AC171" s="71">
        <v>2.6702877E-2</v>
      </c>
      <c r="AD171" s="71">
        <v>3.0121525E-2</v>
      </c>
      <c r="AE171" s="71">
        <v>3.2187295999999997E-2</v>
      </c>
      <c r="AF171" s="71">
        <v>3.2919459999999998E-2</v>
      </c>
      <c r="AG171" s="71">
        <v>5.9853772E-2</v>
      </c>
      <c r="AH171" s="71">
        <v>6.0084813000000001E-2</v>
      </c>
      <c r="AI171" s="71">
        <v>6.2375837000000003E-2</v>
      </c>
      <c r="AJ171" s="71">
        <v>6.4481517000000002E-2</v>
      </c>
      <c r="AK171" s="71">
        <v>6.4113456999999999E-2</v>
      </c>
      <c r="AL171" s="71">
        <v>6.4037505999999994E-2</v>
      </c>
      <c r="AM171" s="71">
        <v>6.4698468999999995E-2</v>
      </c>
      <c r="AN171" s="71">
        <v>9.2240320000000001E-2</v>
      </c>
      <c r="AO171" s="71">
        <v>0.13464309299999999</v>
      </c>
      <c r="AP171" s="71">
        <v>0.37950803500000002</v>
      </c>
    </row>
    <row r="172" spans="1:42" x14ac:dyDescent="0.2">
      <c r="A172" t="s">
        <v>191</v>
      </c>
      <c r="B172" t="s">
        <v>112</v>
      </c>
      <c r="C172" t="s">
        <v>116</v>
      </c>
      <c r="D172" t="s">
        <v>115</v>
      </c>
      <c r="E172" s="71">
        <v>6.0804485999999998E-2</v>
      </c>
      <c r="F172" s="71">
        <v>6.1258078000000001E-2</v>
      </c>
      <c r="G172" s="71">
        <v>6.2618016999999998E-2</v>
      </c>
      <c r="H172" s="71">
        <v>6.4997077E-2</v>
      </c>
      <c r="I172" s="71">
        <v>6.685257E-2</v>
      </c>
      <c r="J172" s="71">
        <v>6.8189501999999999E-2</v>
      </c>
      <c r="K172" s="71">
        <v>6.9153666000000003E-2</v>
      </c>
      <c r="L172" s="71">
        <v>2.8257112000000001E-2</v>
      </c>
      <c r="M172" s="71">
        <v>3.2898979000000002E-2</v>
      </c>
      <c r="N172" s="71">
        <v>3.6515512E-2</v>
      </c>
      <c r="O172" s="71">
        <v>4.2061154000000003E-2</v>
      </c>
      <c r="P172" s="71">
        <v>4.5828214999999999E-2</v>
      </c>
      <c r="Q172" s="71">
        <v>4.8385810000000001E-2</v>
      </c>
      <c r="R172" s="71">
        <v>5.0709538999999998E-2</v>
      </c>
      <c r="S172" s="71">
        <v>9.3941297000000007E-2</v>
      </c>
      <c r="T172" s="71">
        <v>9.0747208999999995E-2</v>
      </c>
      <c r="U172" s="71">
        <v>8.9665170000000002E-2</v>
      </c>
      <c r="V172" s="71">
        <v>8.8604607000000002E-2</v>
      </c>
      <c r="W172" s="71">
        <v>8.8320139000000006E-2</v>
      </c>
      <c r="X172" s="71">
        <v>8.8211220000000007E-2</v>
      </c>
      <c r="Y172" s="71">
        <v>8.7718636000000003E-2</v>
      </c>
      <c r="Z172" s="71">
        <v>4.3306272E-2</v>
      </c>
      <c r="AA172" s="71">
        <v>4.4409749999999998E-2</v>
      </c>
      <c r="AB172" s="71">
        <v>4.4962953999999999E-2</v>
      </c>
      <c r="AC172" s="71">
        <v>4.7606152999999998E-2</v>
      </c>
      <c r="AD172" s="71">
        <v>4.9984304E-2</v>
      </c>
      <c r="AE172" s="71">
        <v>5.2595548999999998E-2</v>
      </c>
      <c r="AF172" s="71">
        <v>5.4153083999999997E-2</v>
      </c>
      <c r="AG172" s="71">
        <v>7.8596124000000003E-2</v>
      </c>
      <c r="AH172" s="71">
        <v>7.8378152000000006E-2</v>
      </c>
      <c r="AI172" s="71">
        <v>8.0571279999999995E-2</v>
      </c>
      <c r="AJ172" s="71">
        <v>8.2676561999999995E-2</v>
      </c>
      <c r="AK172" s="71">
        <v>8.3991937000000003E-2</v>
      </c>
      <c r="AL172" s="71">
        <v>8.4014635000000004E-2</v>
      </c>
      <c r="AM172" s="71">
        <v>8.4367762999999998E-2</v>
      </c>
      <c r="AN172" s="71">
        <v>8.3840565000000006E-2</v>
      </c>
      <c r="AO172" s="71">
        <v>0.43014102500000001</v>
      </c>
      <c r="AP172" s="71">
        <v>0.33268031399999998</v>
      </c>
    </row>
    <row r="173" spans="1:42" x14ac:dyDescent="0.2">
      <c r="A173" t="s">
        <v>254</v>
      </c>
      <c r="B173" t="s">
        <v>112</v>
      </c>
      <c r="C173" t="s">
        <v>116</v>
      </c>
      <c r="D173" t="s">
        <v>115</v>
      </c>
      <c r="E173" s="71">
        <v>3.7822366000000003E-2</v>
      </c>
      <c r="F173" s="71">
        <v>3.9341092000000001E-2</v>
      </c>
      <c r="G173" s="71">
        <v>4.2700171000000002E-2</v>
      </c>
      <c r="H173" s="71">
        <v>4.6922445E-2</v>
      </c>
      <c r="I173" s="71">
        <v>4.9480438000000002E-2</v>
      </c>
      <c r="J173" s="71">
        <v>5.1090956E-2</v>
      </c>
      <c r="K173" s="71">
        <v>5.2176118E-2</v>
      </c>
      <c r="L173" s="71">
        <v>4.5244209999999998E-3</v>
      </c>
      <c r="M173" s="71">
        <v>9.3743650000000008E-3</v>
      </c>
      <c r="N173" s="71">
        <v>1.6007025000000001E-2</v>
      </c>
      <c r="O173" s="71">
        <v>2.2435933000000002E-2</v>
      </c>
      <c r="P173" s="71">
        <v>2.7176098999999999E-2</v>
      </c>
      <c r="Q173" s="71">
        <v>3.0538539E-2</v>
      </c>
      <c r="R173" s="71">
        <v>3.3028700000000001E-2</v>
      </c>
      <c r="S173" s="71">
        <v>7.2813279999999994E-2</v>
      </c>
      <c r="T173" s="71">
        <v>7.0171886000000003E-2</v>
      </c>
      <c r="U173" s="71">
        <v>7.0494971000000003E-2</v>
      </c>
      <c r="V173" s="71">
        <v>7.1767870999999997E-2</v>
      </c>
      <c r="W173" s="71">
        <v>7.2449294999999997E-2</v>
      </c>
      <c r="X173" s="71">
        <v>7.2192197999999999E-2</v>
      </c>
      <c r="Y173" s="71">
        <v>7.2077809000000007E-2</v>
      </c>
      <c r="Z173" s="71">
        <v>1.8579549000000001E-2</v>
      </c>
      <c r="AA173" s="71">
        <v>2.0589542999999998E-2</v>
      </c>
      <c r="AB173" s="71">
        <v>2.4172966000000001E-2</v>
      </c>
      <c r="AC173" s="71">
        <v>2.8637119999999999E-2</v>
      </c>
      <c r="AD173" s="71">
        <v>3.0637799E-2</v>
      </c>
      <c r="AE173" s="71">
        <v>3.3049808999999999E-2</v>
      </c>
      <c r="AF173" s="71">
        <v>3.5095838999999997E-2</v>
      </c>
      <c r="AG173" s="71">
        <v>5.7428645E-2</v>
      </c>
      <c r="AH173" s="71">
        <v>5.8436993E-2</v>
      </c>
      <c r="AI173" s="71">
        <v>6.1562586000000002E-2</v>
      </c>
      <c r="AJ173" s="71">
        <v>6.5532893999999994E-2</v>
      </c>
      <c r="AK173" s="71">
        <v>6.8667504000000004E-2</v>
      </c>
      <c r="AL173" s="71">
        <v>6.9447169000000003E-2</v>
      </c>
      <c r="AM173" s="71">
        <v>6.9538379999999997E-2</v>
      </c>
      <c r="AN173" s="71">
        <v>9.2011238999999995E-2</v>
      </c>
      <c r="AO173" s="71">
        <v>0.170473914</v>
      </c>
      <c r="AP173" s="71">
        <v>0.56968277599999995</v>
      </c>
    </row>
    <row r="174" spans="1:42" x14ac:dyDescent="0.2">
      <c r="A174" t="s">
        <v>103</v>
      </c>
      <c r="B174" t="s">
        <v>112</v>
      </c>
      <c r="C174" t="s">
        <v>116</v>
      </c>
      <c r="D174" t="s">
        <v>115</v>
      </c>
      <c r="E174" s="71">
        <v>7.1672081999999998E-2</v>
      </c>
      <c r="F174" s="71">
        <v>7.1817993999999996E-2</v>
      </c>
      <c r="G174" s="71">
        <v>7.2340846E-2</v>
      </c>
      <c r="H174" s="71">
        <v>7.3387264999999993E-2</v>
      </c>
      <c r="I174" s="71">
        <v>7.4270129000000004E-2</v>
      </c>
      <c r="J174" s="71">
        <v>7.4930429000000007E-2</v>
      </c>
      <c r="K174" s="71">
        <v>7.5415254000000001E-2</v>
      </c>
      <c r="L174" s="71">
        <v>2.6089969000000001E-2</v>
      </c>
      <c r="M174" s="71">
        <v>3.1405244999999998E-2</v>
      </c>
      <c r="N174" s="71">
        <v>3.5921562999999997E-2</v>
      </c>
      <c r="O174" s="71">
        <v>4.1309585000000003E-2</v>
      </c>
      <c r="P174" s="71">
        <v>4.5507331999999998E-2</v>
      </c>
      <c r="Q174" s="71">
        <v>4.8604999000000003E-2</v>
      </c>
      <c r="R174" s="71">
        <v>5.0738276999999998E-2</v>
      </c>
      <c r="S174" s="71">
        <v>0.119611727</v>
      </c>
      <c r="T174" s="71">
        <v>0.1135597</v>
      </c>
      <c r="U174" s="71">
        <v>0.108865991</v>
      </c>
      <c r="V174" s="71">
        <v>0.106141582</v>
      </c>
      <c r="W174" s="71">
        <v>0.10408293</v>
      </c>
      <c r="X174" s="71">
        <v>0.102209652</v>
      </c>
      <c r="Y174" s="71">
        <v>0.101045184</v>
      </c>
      <c r="Z174" s="71">
        <v>4.6543938E-2</v>
      </c>
      <c r="AA174" s="71">
        <v>4.8194513000000001E-2</v>
      </c>
      <c r="AB174" s="71">
        <v>5.0409967999999999E-2</v>
      </c>
      <c r="AC174" s="71">
        <v>5.1546025000000002E-2</v>
      </c>
      <c r="AD174" s="71">
        <v>5.3022614000000003E-2</v>
      </c>
      <c r="AE174" s="71">
        <v>5.5826845E-2</v>
      </c>
      <c r="AF174" s="71">
        <v>5.7532273000000002E-2</v>
      </c>
      <c r="AG174" s="71">
        <v>9.7403700999999995E-2</v>
      </c>
      <c r="AH174" s="71">
        <v>9.5973880999999997E-2</v>
      </c>
      <c r="AI174" s="71">
        <v>9.4729795000000006E-2</v>
      </c>
      <c r="AJ174" s="71">
        <v>9.5682125000000007E-2</v>
      </c>
      <c r="AK174" s="71">
        <v>9.5946374000000001E-2</v>
      </c>
      <c r="AL174" s="71">
        <v>9.4379578000000006E-2</v>
      </c>
      <c r="AM174" s="71">
        <v>9.3600568999999995E-2</v>
      </c>
      <c r="AN174" s="71">
        <v>0.119488675</v>
      </c>
      <c r="AO174" s="71">
        <v>0.22473800399999999</v>
      </c>
      <c r="AP174" s="71">
        <v>0.59431294700000004</v>
      </c>
    </row>
    <row r="175" spans="1:42" x14ac:dyDescent="0.2">
      <c r="A175" t="s">
        <v>214</v>
      </c>
      <c r="B175" t="s">
        <v>112</v>
      </c>
      <c r="C175" t="s">
        <v>116</v>
      </c>
      <c r="D175" t="s">
        <v>115</v>
      </c>
      <c r="E175" s="71">
        <v>5.3290962999999997E-2</v>
      </c>
      <c r="F175" s="71">
        <v>5.2816749000000003E-2</v>
      </c>
      <c r="G175" s="71">
        <v>5.1714419999999997E-2</v>
      </c>
      <c r="H175" s="71">
        <v>5.0241350999999997E-2</v>
      </c>
      <c r="I175" s="71">
        <v>4.9308299999999999E-2</v>
      </c>
      <c r="J175" s="71">
        <v>4.8713565E-2</v>
      </c>
      <c r="K175" s="71">
        <v>4.8314691E-2</v>
      </c>
      <c r="L175" s="71">
        <v>2.1748440000000001E-2</v>
      </c>
      <c r="M175" s="71">
        <v>2.4363991000000002E-2</v>
      </c>
      <c r="N175" s="71">
        <v>2.6142603E-2</v>
      </c>
      <c r="O175" s="71">
        <v>2.6953121999999999E-2</v>
      </c>
      <c r="P175" s="71">
        <v>2.7352774999999999E-2</v>
      </c>
      <c r="Q175" s="71">
        <v>2.8096238999999999E-2</v>
      </c>
      <c r="R175" s="71">
        <v>2.8878402000000001E-2</v>
      </c>
      <c r="S175" s="71">
        <v>8.6446949999999995E-2</v>
      </c>
      <c r="T175" s="71">
        <v>8.2252469999999994E-2</v>
      </c>
      <c r="U175" s="71">
        <v>7.7848432999999995E-2</v>
      </c>
      <c r="V175" s="71">
        <v>7.4329583000000005E-2</v>
      </c>
      <c r="W175" s="71">
        <v>7.1524458999999999E-2</v>
      </c>
      <c r="X175" s="71">
        <v>6.9843309000000006E-2</v>
      </c>
      <c r="Y175" s="71">
        <v>6.8160400999999995E-2</v>
      </c>
      <c r="Z175" s="71">
        <v>3.9483613000000001E-2</v>
      </c>
      <c r="AA175" s="71">
        <v>3.9527141000000002E-2</v>
      </c>
      <c r="AB175" s="71">
        <v>3.7059174E-2</v>
      </c>
      <c r="AC175" s="71">
        <v>3.4009373000000002E-2</v>
      </c>
      <c r="AD175" s="71">
        <v>3.2902202999999998E-2</v>
      </c>
      <c r="AE175" s="71">
        <v>3.2720177000000003E-2</v>
      </c>
      <c r="AF175" s="71">
        <v>3.2409726E-2</v>
      </c>
      <c r="AG175" s="71">
        <v>6.7281674E-2</v>
      </c>
      <c r="AH175" s="71">
        <v>6.6276159000000001E-2</v>
      </c>
      <c r="AI175" s="71">
        <v>6.6576641000000006E-2</v>
      </c>
      <c r="AJ175" s="71">
        <v>6.6728066000000003E-2</v>
      </c>
      <c r="AK175" s="71">
        <v>6.5975074999999994E-2</v>
      </c>
      <c r="AL175" s="71">
        <v>6.4954544000000003E-2</v>
      </c>
      <c r="AM175" s="71">
        <v>6.4464595999999999E-2</v>
      </c>
      <c r="AN175" s="71">
        <v>9.0832817999999996E-2</v>
      </c>
      <c r="AO175" s="71">
        <v>0.30198346100000001</v>
      </c>
      <c r="AP175" s="71">
        <v>0.56705322899999999</v>
      </c>
    </row>
    <row r="176" spans="1:42" x14ac:dyDescent="0.2">
      <c r="A176" t="s">
        <v>164</v>
      </c>
      <c r="B176" t="s">
        <v>112</v>
      </c>
      <c r="C176" t="s">
        <v>116</v>
      </c>
      <c r="D176" t="s">
        <v>115</v>
      </c>
      <c r="E176" s="71">
        <v>3.2308339999999998E-2</v>
      </c>
      <c r="F176" s="71">
        <v>3.2880663999999997E-2</v>
      </c>
      <c r="G176" s="71">
        <v>3.4345030999999998E-2</v>
      </c>
      <c r="H176" s="71">
        <v>3.6616801999999997E-2</v>
      </c>
      <c r="I176" s="71">
        <v>3.8312553999999999E-2</v>
      </c>
      <c r="J176" s="71">
        <v>3.9539099000000001E-2</v>
      </c>
      <c r="K176" s="71">
        <v>4.0437937E-2</v>
      </c>
      <c r="L176" s="71">
        <v>9.9857980000000006E-3</v>
      </c>
      <c r="M176" s="71">
        <v>1.2728959999999999E-2</v>
      </c>
      <c r="N176" s="71">
        <v>1.5460381E-2</v>
      </c>
      <c r="O176" s="71">
        <v>1.9245577E-2</v>
      </c>
      <c r="P176" s="71">
        <v>2.2048228E-2</v>
      </c>
      <c r="Q176" s="71">
        <v>2.4129886999999999E-2</v>
      </c>
      <c r="R176" s="71">
        <v>2.6236408999999999E-2</v>
      </c>
      <c r="S176" s="71">
        <v>5.5378278000000003E-2</v>
      </c>
      <c r="T176" s="71">
        <v>5.3205022999999997E-2</v>
      </c>
      <c r="U176" s="71">
        <v>5.3499067999999997E-2</v>
      </c>
      <c r="V176" s="71">
        <v>5.4193267000000003E-2</v>
      </c>
      <c r="W176" s="71">
        <v>5.5052992000000002E-2</v>
      </c>
      <c r="X176" s="71">
        <v>5.5093019E-2</v>
      </c>
      <c r="Y176" s="71">
        <v>5.4908921999999999E-2</v>
      </c>
      <c r="Z176" s="71">
        <v>1.8603649999999999E-2</v>
      </c>
      <c r="AA176" s="71">
        <v>2.0119676E-2</v>
      </c>
      <c r="AB176" s="71">
        <v>2.1046802E-2</v>
      </c>
      <c r="AC176" s="71">
        <v>2.2022025000000001E-2</v>
      </c>
      <c r="AD176" s="71">
        <v>2.4846903E-2</v>
      </c>
      <c r="AE176" s="71">
        <v>2.6452171E-2</v>
      </c>
      <c r="AF176" s="71">
        <v>2.8233396000000001E-2</v>
      </c>
      <c r="AG176" s="71">
        <v>4.6197417999999997E-2</v>
      </c>
      <c r="AH176" s="71">
        <v>4.5801396000000001E-2</v>
      </c>
      <c r="AI176" s="71">
        <v>4.7816490000000003E-2</v>
      </c>
      <c r="AJ176" s="71">
        <v>5.1419945000000002E-2</v>
      </c>
      <c r="AK176" s="71">
        <v>5.1955034999999997E-2</v>
      </c>
      <c r="AL176" s="71">
        <v>5.2792790999999999E-2</v>
      </c>
      <c r="AM176" s="71">
        <v>5.2787302000000001E-2</v>
      </c>
      <c r="AN176" s="71">
        <v>5.8873432000000003E-2</v>
      </c>
      <c r="AO176" s="71">
        <v>0.31347037900000002</v>
      </c>
      <c r="AP176" s="71">
        <v>0.40498719999999999</v>
      </c>
    </row>
    <row r="177" spans="1:42" x14ac:dyDescent="0.2">
      <c r="A177" t="s">
        <v>345</v>
      </c>
      <c r="B177" t="s">
        <v>112</v>
      </c>
      <c r="C177" t="s">
        <v>116</v>
      </c>
      <c r="D177" t="s">
        <v>115</v>
      </c>
      <c r="E177" s="71">
        <v>2.7265072000000001E-2</v>
      </c>
      <c r="F177" s="71">
        <v>2.9637574999999999E-2</v>
      </c>
      <c r="G177" s="71">
        <v>3.5296081999999999E-2</v>
      </c>
      <c r="H177" s="71">
        <v>4.3321132999999998E-2</v>
      </c>
      <c r="I177" s="71">
        <v>4.8797964999999999E-2</v>
      </c>
      <c r="J177" s="71">
        <v>5.2512646000000003E-2</v>
      </c>
      <c r="K177" s="71">
        <v>5.5120825999999998E-2</v>
      </c>
      <c r="L177" s="71">
        <v>1.64759E-3</v>
      </c>
      <c r="M177" s="71">
        <v>6.249887E-3</v>
      </c>
      <c r="N177" s="71">
        <v>1.41029E-2</v>
      </c>
      <c r="O177" s="71">
        <v>2.4103752999999999E-2</v>
      </c>
      <c r="P177" s="71">
        <v>3.0643383E-2</v>
      </c>
      <c r="Q177" s="71">
        <v>3.5204503999999998E-2</v>
      </c>
      <c r="R177" s="71">
        <v>3.9242221000000001E-2</v>
      </c>
      <c r="S177" s="71">
        <v>5.4016959000000003E-2</v>
      </c>
      <c r="T177" s="71">
        <v>5.3546703000000001E-2</v>
      </c>
      <c r="U177" s="71">
        <v>5.6657276999999999E-2</v>
      </c>
      <c r="V177" s="71">
        <v>6.2796218000000001E-2</v>
      </c>
      <c r="W177" s="71">
        <v>6.7393842999999995E-2</v>
      </c>
      <c r="X177" s="71">
        <v>6.9613574999999997E-2</v>
      </c>
      <c r="Y177" s="71">
        <v>7.1110432000000001E-2</v>
      </c>
      <c r="Z177" s="71">
        <v>1.2059983999999999E-2</v>
      </c>
      <c r="AA177" s="71">
        <v>1.4420324E-2</v>
      </c>
      <c r="AB177" s="71">
        <v>2.0071478E-2</v>
      </c>
      <c r="AC177" s="71">
        <v>2.8526247000000001E-2</v>
      </c>
      <c r="AD177" s="71">
        <v>3.4966153E-2</v>
      </c>
      <c r="AE177" s="71">
        <v>3.9304889000000003E-2</v>
      </c>
      <c r="AF177" s="71">
        <v>4.2133839999999999E-2</v>
      </c>
      <c r="AG177" s="71">
        <v>4.2698636999999998E-2</v>
      </c>
      <c r="AH177" s="71">
        <v>4.5082861000000002E-2</v>
      </c>
      <c r="AI177" s="71">
        <v>5.0747819E-2</v>
      </c>
      <c r="AJ177" s="71">
        <v>5.8328749999999999E-2</v>
      </c>
      <c r="AK177" s="71">
        <v>6.2814527999999994E-2</v>
      </c>
      <c r="AL177" s="71">
        <v>6.5888408999999995E-2</v>
      </c>
      <c r="AM177" s="71">
        <v>6.8269703000000001E-2</v>
      </c>
      <c r="AN177" s="71">
        <v>6.9353192999999994E-2</v>
      </c>
      <c r="AO177" s="71">
        <v>0.33399733500000001</v>
      </c>
      <c r="AP177" s="71">
        <v>0.44513992899999999</v>
      </c>
    </row>
    <row r="178" spans="1:42" x14ac:dyDescent="0.2">
      <c r="A178" t="s">
        <v>164</v>
      </c>
      <c r="B178" t="s">
        <v>112</v>
      </c>
      <c r="C178" t="s">
        <v>170</v>
      </c>
      <c r="D178" t="s">
        <v>169</v>
      </c>
      <c r="E178" s="71">
        <v>7.8213200000000005E-4</v>
      </c>
      <c r="F178" s="71">
        <v>2.7580259999999998E-3</v>
      </c>
      <c r="G178" s="71">
        <v>7.6128239999999998E-3</v>
      </c>
      <c r="H178" s="71">
        <v>1.4719486E-2</v>
      </c>
      <c r="I178" s="71">
        <v>1.9722699999999999E-2</v>
      </c>
      <c r="J178" s="71">
        <v>2.3195266999999999E-2</v>
      </c>
      <c r="K178" s="71">
        <v>2.5672317E-2</v>
      </c>
      <c r="L178" s="71">
        <v>-2.3006687000000001E-2</v>
      </c>
      <c r="M178" s="71">
        <v>-2.0322071000000001E-2</v>
      </c>
      <c r="N178" s="71">
        <v>-1.7660381999999999E-2</v>
      </c>
      <c r="O178" s="71">
        <v>-1.2386027000000001E-2</v>
      </c>
      <c r="P178" s="71">
        <v>-7.16637E-3</v>
      </c>
      <c r="Q178" s="71">
        <v>-3.622648E-3</v>
      </c>
      <c r="R178" s="71">
        <v>-3.4995300000000002E-4</v>
      </c>
      <c r="S178" s="71">
        <v>2.4673994000000001E-2</v>
      </c>
      <c r="T178" s="71">
        <v>2.6275692E-2</v>
      </c>
      <c r="U178" s="71">
        <v>3.3495684999999997E-2</v>
      </c>
      <c r="V178" s="71">
        <v>4.2647694999999999E-2</v>
      </c>
      <c r="W178" s="71">
        <v>4.7287265000000002E-2</v>
      </c>
      <c r="X178" s="71">
        <v>5.0685225E-2</v>
      </c>
      <c r="Y178" s="71">
        <v>5.2569394999999998E-2</v>
      </c>
      <c r="Z178" s="71">
        <v>-1.4916933E-2</v>
      </c>
      <c r="AA178" s="71">
        <v>-1.458397E-2</v>
      </c>
      <c r="AB178" s="71">
        <v>-1.3651452E-2</v>
      </c>
      <c r="AC178" s="71">
        <v>-1.0656206E-2</v>
      </c>
      <c r="AD178" s="71">
        <v>-6.5669650000000001E-3</v>
      </c>
      <c r="AE178" s="71">
        <v>-3.0805849999999998E-3</v>
      </c>
      <c r="AF178" s="71">
        <v>3.7993400000000001E-4</v>
      </c>
      <c r="AG178" s="71">
        <v>1.6731373000000001E-2</v>
      </c>
      <c r="AH178" s="71">
        <v>2.0405179999999998E-2</v>
      </c>
      <c r="AI178" s="71">
        <v>2.9335428E-2</v>
      </c>
      <c r="AJ178" s="71">
        <v>4.0746134000000003E-2</v>
      </c>
      <c r="AK178" s="71">
        <v>4.6708202999999997E-2</v>
      </c>
      <c r="AL178" s="71">
        <v>5.0163790999999999E-2</v>
      </c>
      <c r="AM178" s="71">
        <v>5.1604165E-2</v>
      </c>
      <c r="AN178" s="71">
        <v>5.7603345E-2</v>
      </c>
      <c r="AO178" s="71">
        <v>0.64753415299999995</v>
      </c>
      <c r="AP178" s="71">
        <v>-0.12447169700000001</v>
      </c>
    </row>
    <row r="179" spans="1:42" x14ac:dyDescent="0.2">
      <c r="A179" t="s">
        <v>240</v>
      </c>
      <c r="B179" t="s">
        <v>112</v>
      </c>
      <c r="C179" t="s">
        <v>340</v>
      </c>
      <c r="D179" t="s">
        <v>244</v>
      </c>
      <c r="E179" s="71">
        <v>1.5899897E-2</v>
      </c>
      <c r="F179" s="71">
        <v>1.6945004E-2</v>
      </c>
      <c r="G179" s="71">
        <v>1.9464611999999999E-2</v>
      </c>
      <c r="H179" s="71">
        <v>2.3044347999999999E-2</v>
      </c>
      <c r="I179" s="71">
        <v>2.5483011999999999E-2</v>
      </c>
      <c r="J179" s="71">
        <v>2.7134061000000001E-2</v>
      </c>
      <c r="K179" s="71">
        <v>2.8291582999999999E-2</v>
      </c>
      <c r="L179" s="71">
        <v>-2.4992068999999999E-2</v>
      </c>
      <c r="M179" s="71">
        <v>-2.0974110000000001E-2</v>
      </c>
      <c r="N179" s="71">
        <v>-1.9714698999999999E-2</v>
      </c>
      <c r="O179" s="71">
        <v>-1.7989971E-2</v>
      </c>
      <c r="P179" s="71">
        <v>-1.6023600999999998E-2</v>
      </c>
      <c r="Q179" s="71">
        <v>-1.4038976999999999E-2</v>
      </c>
      <c r="R179" s="71">
        <v>-1.1373159000000001E-2</v>
      </c>
      <c r="S179" s="71">
        <v>5.8765124000000002E-2</v>
      </c>
      <c r="T179" s="71">
        <v>5.6031296000000001E-2</v>
      </c>
      <c r="U179" s="71">
        <v>6.1254691E-2</v>
      </c>
      <c r="V179" s="71">
        <v>6.6715418999999998E-2</v>
      </c>
      <c r="W179" s="71">
        <v>6.8659540000000005E-2</v>
      </c>
      <c r="X179" s="71">
        <v>6.9549761000000002E-2</v>
      </c>
      <c r="Y179" s="71">
        <v>6.9864150999999999E-2</v>
      </c>
      <c r="Z179" s="71">
        <v>-8.7606960000000001E-3</v>
      </c>
      <c r="AA179" s="71">
        <v>-8.1970810000000002E-3</v>
      </c>
      <c r="AB179" s="71">
        <v>-9.8754399999999992E-3</v>
      </c>
      <c r="AC179" s="71">
        <v>-1.2897808E-2</v>
      </c>
      <c r="AD179" s="71">
        <v>-1.4722867000000001E-2</v>
      </c>
      <c r="AE179" s="71">
        <v>-1.2535194E-2</v>
      </c>
      <c r="AF179" s="71">
        <v>-9.7115529999999995E-3</v>
      </c>
      <c r="AG179" s="71">
        <v>4.1174068000000001E-2</v>
      </c>
      <c r="AH179" s="71">
        <v>4.2724419E-2</v>
      </c>
      <c r="AI179" s="71">
        <v>4.9674173000000002E-2</v>
      </c>
      <c r="AJ179" s="71">
        <v>6.0295091000000002E-2</v>
      </c>
      <c r="AK179" s="71">
        <v>6.7329625000000004E-2</v>
      </c>
      <c r="AL179" s="71">
        <v>6.8397097000000004E-2</v>
      </c>
      <c r="AM179" s="71">
        <v>6.7753250000000001E-2</v>
      </c>
      <c r="AN179" s="71">
        <v>0.11043847900000001</v>
      </c>
      <c r="AO179" s="71">
        <v>0.70212543000000005</v>
      </c>
      <c r="AP179" s="71">
        <v>8.1499132000000002E-2</v>
      </c>
    </row>
    <row r="180" spans="1:42" x14ac:dyDescent="0.2">
      <c r="A180" t="s">
        <v>200</v>
      </c>
      <c r="B180" t="s">
        <v>112</v>
      </c>
      <c r="C180" t="s">
        <v>352</v>
      </c>
      <c r="D180" t="s">
        <v>209</v>
      </c>
      <c r="E180" s="71">
        <v>2.3789286999999999E-2</v>
      </c>
      <c r="F180" s="71">
        <v>2.3297190999999998E-2</v>
      </c>
      <c r="G180" s="71">
        <v>2.1931409999999998E-2</v>
      </c>
      <c r="H180" s="71">
        <v>1.9749283999999999E-2</v>
      </c>
      <c r="I180" s="71">
        <v>1.8164873000000002E-2</v>
      </c>
      <c r="J180" s="71">
        <v>1.7066478999999999E-2</v>
      </c>
      <c r="K180" s="71">
        <v>1.6289830000000002E-2</v>
      </c>
      <c r="L180" s="71">
        <v>1.2175557E-2</v>
      </c>
      <c r="M180" s="71">
        <v>1.2012747000000001E-2</v>
      </c>
      <c r="N180" s="71">
        <v>9.2428340000000001E-3</v>
      </c>
      <c r="O180" s="71">
        <v>6.0110399999999996E-3</v>
      </c>
      <c r="P180" s="71">
        <v>4.4779479999999998E-3</v>
      </c>
      <c r="Q180" s="71">
        <v>3.6212739999999998E-3</v>
      </c>
      <c r="R180" s="71">
        <v>3.5076299999999999E-3</v>
      </c>
      <c r="S180" s="71">
        <v>3.5498763000000003E-2</v>
      </c>
      <c r="T180" s="71">
        <v>3.4430568000000002E-2</v>
      </c>
      <c r="U180" s="71">
        <v>3.4616279E-2</v>
      </c>
      <c r="V180" s="71">
        <v>3.3610054E-2</v>
      </c>
      <c r="W180" s="71">
        <v>3.1976952000000003E-2</v>
      </c>
      <c r="X180" s="71">
        <v>3.0643403E-2</v>
      </c>
      <c r="Y180" s="71">
        <v>2.9300858999999999E-2</v>
      </c>
      <c r="Z180" s="71">
        <v>1.5830410999999999E-2</v>
      </c>
      <c r="AA180" s="71">
        <v>1.4666106E-2</v>
      </c>
      <c r="AB180" s="71">
        <v>9.8134850000000003E-3</v>
      </c>
      <c r="AC180" s="71">
        <v>6.6033890000000003E-3</v>
      </c>
      <c r="AD180" s="71">
        <v>4.7148679999999997E-3</v>
      </c>
      <c r="AE180" s="71">
        <v>3.9335280000000004E-3</v>
      </c>
      <c r="AF180" s="71">
        <v>3.358659E-3</v>
      </c>
      <c r="AG180" s="71">
        <v>3.1810536E-2</v>
      </c>
      <c r="AH180" s="71">
        <v>3.2001664999999999E-2</v>
      </c>
      <c r="AI180" s="71">
        <v>3.4194757999999999E-2</v>
      </c>
      <c r="AJ180" s="71">
        <v>3.3066783000000002E-2</v>
      </c>
      <c r="AK180" s="71">
        <v>3.1794711000000003E-2</v>
      </c>
      <c r="AL180" s="71">
        <v>3.0371203999999999E-2</v>
      </c>
      <c r="AM180" s="71">
        <v>2.9387686E-2</v>
      </c>
      <c r="AN180" s="71">
        <v>2.5912016999999999E-2</v>
      </c>
      <c r="AO180" s="71">
        <v>0.45672260100000001</v>
      </c>
      <c r="AP180" s="71">
        <v>-7.9477059000000003E-2</v>
      </c>
    </row>
    <row r="181" spans="1:42" x14ac:dyDescent="0.2">
      <c r="A181" t="s">
        <v>224</v>
      </c>
      <c r="B181" t="s">
        <v>112</v>
      </c>
      <c r="C181" t="s">
        <v>229</v>
      </c>
      <c r="D181" t="s">
        <v>228</v>
      </c>
      <c r="E181" s="71">
        <v>4.9499989000000001E-2</v>
      </c>
      <c r="F181" s="71">
        <v>4.9836396999999998E-2</v>
      </c>
      <c r="G181" s="71">
        <v>5.0531148999999997E-2</v>
      </c>
      <c r="H181" s="71">
        <v>5.1233172E-2</v>
      </c>
      <c r="I181" s="71">
        <v>5.1469922000000001E-2</v>
      </c>
      <c r="J181" s="71">
        <v>5.1486731000000001E-2</v>
      </c>
      <c r="K181" s="71">
        <v>5.1418542999999997E-2</v>
      </c>
      <c r="L181" s="71">
        <v>1.478544E-2</v>
      </c>
      <c r="M181" s="71">
        <v>1.6934777000000002E-2</v>
      </c>
      <c r="N181" s="71">
        <v>1.5700397000000001E-2</v>
      </c>
      <c r="O181" s="71">
        <v>1.3174297999999999E-2</v>
      </c>
      <c r="P181" s="71">
        <v>1.3078532E-2</v>
      </c>
      <c r="Q181" s="71">
        <v>1.4050004E-2</v>
      </c>
      <c r="R181" s="71">
        <v>1.5103258E-2</v>
      </c>
      <c r="S181" s="71">
        <v>8.5518997999999999E-2</v>
      </c>
      <c r="T181" s="71">
        <v>8.3243453999999995E-2</v>
      </c>
      <c r="U181" s="71">
        <v>8.7483754999999996E-2</v>
      </c>
      <c r="V181" s="71">
        <v>9.1168051999999999E-2</v>
      </c>
      <c r="W181" s="71">
        <v>9.1424001000000005E-2</v>
      </c>
      <c r="X181" s="71">
        <v>9.0877718999999996E-2</v>
      </c>
      <c r="Y181" s="71">
        <v>8.8941692000000003E-2</v>
      </c>
      <c r="Z181" s="71">
        <v>3.1069135000000001E-2</v>
      </c>
      <c r="AA181" s="71">
        <v>2.8861993999999998E-2</v>
      </c>
      <c r="AB181" s="71">
        <v>2.0981739999999999E-2</v>
      </c>
      <c r="AC181" s="71">
        <v>1.6398527E-2</v>
      </c>
      <c r="AD181" s="71">
        <v>1.4793435000000001E-2</v>
      </c>
      <c r="AE181" s="71">
        <v>1.5985151E-2</v>
      </c>
      <c r="AF181" s="71">
        <v>1.7048625000000001E-2</v>
      </c>
      <c r="AG181" s="71">
        <v>6.8260245999999997E-2</v>
      </c>
      <c r="AH181" s="71">
        <v>7.1238538000000004E-2</v>
      </c>
      <c r="AI181" s="71">
        <v>8.0935675999999998E-2</v>
      </c>
      <c r="AJ181" s="71">
        <v>8.7261677999999995E-2</v>
      </c>
      <c r="AK181" s="71">
        <v>8.9471868999999996E-2</v>
      </c>
      <c r="AL181" s="71">
        <v>8.8228934999999994E-2</v>
      </c>
      <c r="AM181" s="71">
        <v>8.6949978999999997E-2</v>
      </c>
      <c r="AN181" s="71">
        <v>9.2710812000000004E-2</v>
      </c>
      <c r="AO181" s="71">
        <v>0.59342503099999999</v>
      </c>
      <c r="AP181" s="71">
        <v>0.29982841799999999</v>
      </c>
    </row>
    <row r="182" spans="1:42" x14ac:dyDescent="0.2">
      <c r="A182" t="s">
        <v>224</v>
      </c>
      <c r="B182" t="s">
        <v>112</v>
      </c>
      <c r="C182" t="s">
        <v>227</v>
      </c>
      <c r="D182" t="s">
        <v>226</v>
      </c>
      <c r="E182" s="71">
        <v>4.9051404E-2</v>
      </c>
      <c r="F182" s="71">
        <v>4.8743606000000002E-2</v>
      </c>
      <c r="G182" s="71">
        <v>4.7887802E-2</v>
      </c>
      <c r="H182" s="71">
        <v>4.6395539999999999E-2</v>
      </c>
      <c r="I182" s="71">
        <v>4.5143843000000003E-2</v>
      </c>
      <c r="J182" s="71">
        <v>4.4156790000000001E-2</v>
      </c>
      <c r="K182" s="71">
        <v>4.3387055000000001E-2</v>
      </c>
      <c r="L182" s="71">
        <v>3.0022949E-2</v>
      </c>
      <c r="M182" s="71">
        <v>3.0696509E-2</v>
      </c>
      <c r="N182" s="71">
        <v>2.8439442999999998E-2</v>
      </c>
      <c r="O182" s="71">
        <v>2.5034128999999999E-2</v>
      </c>
      <c r="P182" s="71">
        <v>2.3822454E-2</v>
      </c>
      <c r="Q182" s="71">
        <v>2.3416686999999999E-2</v>
      </c>
      <c r="R182" s="71">
        <v>2.3356440999999999E-2</v>
      </c>
      <c r="S182" s="71">
        <v>6.8231766999999999E-2</v>
      </c>
      <c r="T182" s="71">
        <v>6.6920146E-2</v>
      </c>
      <c r="U182" s="71">
        <v>6.7736875000000002E-2</v>
      </c>
      <c r="V182" s="71">
        <v>6.8382199000000005E-2</v>
      </c>
      <c r="W182" s="71">
        <v>6.6694261000000005E-2</v>
      </c>
      <c r="X182" s="71">
        <v>6.5389929999999999E-2</v>
      </c>
      <c r="Y182" s="71">
        <v>6.3970984999999994E-2</v>
      </c>
      <c r="Z182" s="71">
        <v>3.9702669000000003E-2</v>
      </c>
      <c r="AA182" s="71">
        <v>3.7841499000000001E-2</v>
      </c>
      <c r="AB182" s="71">
        <v>3.2117249E-2</v>
      </c>
      <c r="AC182" s="71">
        <v>2.5995639000000001E-2</v>
      </c>
      <c r="AD182" s="71">
        <v>2.3316612E-2</v>
      </c>
      <c r="AE182" s="71">
        <v>2.3608369000000001E-2</v>
      </c>
      <c r="AF182" s="71">
        <v>2.3582754000000001E-2</v>
      </c>
      <c r="AG182" s="71">
        <v>5.8484122999999999E-2</v>
      </c>
      <c r="AH182" s="71">
        <v>5.9760209000000002E-2</v>
      </c>
      <c r="AI182" s="71">
        <v>6.3899277000000004E-2</v>
      </c>
      <c r="AJ182" s="71">
        <v>6.7200800000000005E-2</v>
      </c>
      <c r="AK182" s="71">
        <v>6.7436625E-2</v>
      </c>
      <c r="AL182" s="71">
        <v>6.5117953000000006E-2</v>
      </c>
      <c r="AM182" s="71">
        <v>6.3574509000000001E-2</v>
      </c>
      <c r="AN182" s="71">
        <v>5.1903247E-2</v>
      </c>
      <c r="AO182" s="71">
        <v>0.57284700399999999</v>
      </c>
      <c r="AP182" s="71">
        <v>0.31086962600000001</v>
      </c>
    </row>
    <row r="183" spans="1:42" x14ac:dyDescent="0.2">
      <c r="A183" t="s">
        <v>272</v>
      </c>
      <c r="B183" t="s">
        <v>112</v>
      </c>
      <c r="C183" t="s">
        <v>278</v>
      </c>
      <c r="D183" t="s">
        <v>277</v>
      </c>
      <c r="E183" s="71">
        <v>2.9197097000000002E-2</v>
      </c>
      <c r="F183" s="71">
        <v>3.0218720000000001E-2</v>
      </c>
      <c r="G183" s="71">
        <v>3.2563806000000001E-2</v>
      </c>
      <c r="H183" s="71">
        <v>3.5698413999999998E-2</v>
      </c>
      <c r="I183" s="71">
        <v>3.7731051000000002E-2</v>
      </c>
      <c r="J183" s="71">
        <v>3.9072274999999997E-2</v>
      </c>
      <c r="K183" s="71">
        <v>4.0000915999999997E-2</v>
      </c>
      <c r="L183" s="71">
        <v>1.6658200000000001E-2</v>
      </c>
      <c r="M183" s="71">
        <v>1.8633981000000001E-2</v>
      </c>
      <c r="N183" s="71">
        <v>2.0310178000000002E-2</v>
      </c>
      <c r="O183" s="71">
        <v>2.2684849E-2</v>
      </c>
      <c r="P183" s="71">
        <v>2.4709122E-2</v>
      </c>
      <c r="Q183" s="71">
        <v>2.6544602E-2</v>
      </c>
      <c r="R183" s="71">
        <v>2.7912620999999999E-2</v>
      </c>
      <c r="S183" s="71">
        <v>4.1869923000000003E-2</v>
      </c>
      <c r="T183" s="71">
        <v>4.2125017000000001E-2</v>
      </c>
      <c r="U183" s="71">
        <v>4.4931928000000003E-2</v>
      </c>
      <c r="V183" s="71">
        <v>4.8708612999999998E-2</v>
      </c>
      <c r="W183" s="71">
        <v>5.0807979000000003E-2</v>
      </c>
      <c r="X183" s="71">
        <v>5.1691899999999999E-2</v>
      </c>
      <c r="Y183" s="71">
        <v>5.2079922000000001E-2</v>
      </c>
      <c r="Z183" s="71">
        <v>2.3167535999999999E-2</v>
      </c>
      <c r="AA183" s="71">
        <v>2.3371586999999999E-2</v>
      </c>
      <c r="AB183" s="71">
        <v>2.3127122E-2</v>
      </c>
      <c r="AC183" s="71">
        <v>2.4531596999999999E-2</v>
      </c>
      <c r="AD183" s="71">
        <v>2.6265429999999999E-2</v>
      </c>
      <c r="AE183" s="71">
        <v>2.7688027E-2</v>
      </c>
      <c r="AF183" s="71">
        <v>2.9080511E-2</v>
      </c>
      <c r="AG183" s="71">
        <v>3.5251857999999997E-2</v>
      </c>
      <c r="AH183" s="71">
        <v>3.7101965000000001E-2</v>
      </c>
      <c r="AI183" s="71">
        <v>4.2079310000000002E-2</v>
      </c>
      <c r="AJ183" s="71">
        <v>4.6980507999999997E-2</v>
      </c>
      <c r="AK183" s="71">
        <v>4.9319908000000003E-2</v>
      </c>
      <c r="AL183" s="71">
        <v>5.0578627000000001E-2</v>
      </c>
      <c r="AM183" s="71">
        <v>5.1033861E-2</v>
      </c>
      <c r="AN183" s="71">
        <v>3.5480628E-2</v>
      </c>
      <c r="AO183" s="71">
        <v>0.68994499399999998</v>
      </c>
      <c r="AP183" s="71">
        <v>0.281931551</v>
      </c>
    </row>
    <row r="184" spans="1:42" x14ac:dyDescent="0.2">
      <c r="A184" t="s">
        <v>288</v>
      </c>
      <c r="B184" t="s">
        <v>112</v>
      </c>
      <c r="C184" t="s">
        <v>293</v>
      </c>
      <c r="D184" t="s">
        <v>292</v>
      </c>
      <c r="E184" s="71">
        <v>4.7599912000000001E-2</v>
      </c>
      <c r="F184" s="71">
        <v>4.7444581999999999E-2</v>
      </c>
      <c r="G184" s="71">
        <v>4.7060131999999998E-2</v>
      </c>
      <c r="H184" s="71">
        <v>4.6505332000000003E-2</v>
      </c>
      <c r="I184" s="71">
        <v>4.6125053999999999E-2</v>
      </c>
      <c r="J184" s="71">
        <v>4.5867443000000001E-2</v>
      </c>
      <c r="K184" s="71">
        <v>4.5686959999999999E-2</v>
      </c>
      <c r="L184" s="71">
        <v>3.3120324E-2</v>
      </c>
      <c r="M184" s="71">
        <v>3.3859304999999999E-2</v>
      </c>
      <c r="N184" s="71">
        <v>3.2838872999999998E-2</v>
      </c>
      <c r="O184" s="71">
        <v>3.1264403000000003E-2</v>
      </c>
      <c r="P184" s="71">
        <v>3.1320227999999999E-2</v>
      </c>
      <c r="Q184" s="71">
        <v>3.1783355999999999E-2</v>
      </c>
      <c r="R184" s="71">
        <v>3.2053453000000003E-2</v>
      </c>
      <c r="S184" s="71">
        <v>6.1987179000000003E-2</v>
      </c>
      <c r="T184" s="71">
        <v>6.1287519999999998E-2</v>
      </c>
      <c r="U184" s="71">
        <v>6.1708276999999999E-2</v>
      </c>
      <c r="V184" s="71">
        <v>6.2138288999999999E-2</v>
      </c>
      <c r="W184" s="71">
        <v>6.1317807000000002E-2</v>
      </c>
      <c r="X184" s="71">
        <v>6.0452986E-2</v>
      </c>
      <c r="Y184" s="71">
        <v>5.9691826000000003E-2</v>
      </c>
      <c r="Z184" s="71">
        <v>3.7761014000000002E-2</v>
      </c>
      <c r="AA184" s="71">
        <v>3.6876555999999998E-2</v>
      </c>
      <c r="AB184" s="71">
        <v>3.4689626000000001E-2</v>
      </c>
      <c r="AC184" s="71">
        <v>3.2048047000000003E-2</v>
      </c>
      <c r="AD184" s="71">
        <v>3.1969576E-2</v>
      </c>
      <c r="AE184" s="71">
        <v>3.2213535000000001E-2</v>
      </c>
      <c r="AF184" s="71">
        <v>3.2299488000000001E-2</v>
      </c>
      <c r="AG184" s="71">
        <v>5.7532196000000001E-2</v>
      </c>
      <c r="AH184" s="71">
        <v>5.8120254000000003E-2</v>
      </c>
      <c r="AI184" s="71">
        <v>5.957867E-2</v>
      </c>
      <c r="AJ184" s="71">
        <v>6.1165030000000002E-2</v>
      </c>
      <c r="AK184" s="71">
        <v>6.0474753999999999E-2</v>
      </c>
      <c r="AL184" s="71">
        <v>5.9702023E-2</v>
      </c>
      <c r="AM184" s="71">
        <v>5.9248008999999997E-2</v>
      </c>
      <c r="AN184" s="71">
        <v>3.3295434999999998E-2</v>
      </c>
      <c r="AO184" s="71">
        <v>0.66131666099999997</v>
      </c>
      <c r="AP184" s="71">
        <v>8.2413094000000006E-2</v>
      </c>
    </row>
    <row r="185" spans="1:42" x14ac:dyDescent="0.2">
      <c r="A185" t="s">
        <v>259</v>
      </c>
      <c r="B185" t="s">
        <v>112</v>
      </c>
      <c r="C185" t="s">
        <v>265</v>
      </c>
      <c r="D185" t="s">
        <v>264</v>
      </c>
      <c r="E185" s="71">
        <v>3.999949E-3</v>
      </c>
      <c r="F185" s="71">
        <v>5.6411029999999997E-3</v>
      </c>
      <c r="G185" s="71">
        <v>9.3804600000000002E-3</v>
      </c>
      <c r="H185" s="71">
        <v>1.4313817E-2</v>
      </c>
      <c r="I185" s="71">
        <v>1.7465949000000001E-2</v>
      </c>
      <c r="J185" s="71">
        <v>1.9524812999999999E-2</v>
      </c>
      <c r="K185" s="71">
        <v>2.0942210999999999E-2</v>
      </c>
      <c r="L185" s="71">
        <v>-8.6853099999999999E-3</v>
      </c>
      <c r="M185" s="71">
        <v>-6.4977689999999996E-3</v>
      </c>
      <c r="N185" s="71">
        <v>-3.3331340000000002E-3</v>
      </c>
      <c r="O185" s="71">
        <v>8.5083200000000004E-4</v>
      </c>
      <c r="P185" s="71">
        <v>4.1100110000000002E-3</v>
      </c>
      <c r="Q185" s="71">
        <v>6.3581360000000003E-3</v>
      </c>
      <c r="R185" s="71">
        <v>8.4899699999999995E-3</v>
      </c>
      <c r="S185" s="71">
        <v>1.6943580999999999E-2</v>
      </c>
      <c r="T185" s="71">
        <v>1.8075173999999999E-2</v>
      </c>
      <c r="U185" s="71">
        <v>2.2120012000000001E-2</v>
      </c>
      <c r="V185" s="71">
        <v>2.7804968999999999E-2</v>
      </c>
      <c r="W185" s="71">
        <v>3.1216408000000001E-2</v>
      </c>
      <c r="X185" s="71">
        <v>3.2864622000000003E-2</v>
      </c>
      <c r="Y185" s="71">
        <v>3.3567840000000002E-2</v>
      </c>
      <c r="Z185" s="71">
        <v>-4.0282269999999997E-3</v>
      </c>
      <c r="AA185" s="71">
        <v>-2.6969419999999999E-3</v>
      </c>
      <c r="AB185" s="71">
        <v>-1.3116079999999999E-3</v>
      </c>
      <c r="AC185" s="71">
        <v>1.78706E-3</v>
      </c>
      <c r="AD185" s="71">
        <v>5.256007E-3</v>
      </c>
      <c r="AE185" s="71">
        <v>7.2453969999999998E-3</v>
      </c>
      <c r="AF185" s="71">
        <v>9.0227480000000006E-3</v>
      </c>
      <c r="AG185" s="71">
        <v>1.209287E-2</v>
      </c>
      <c r="AH185" s="71">
        <v>1.4048837E-2</v>
      </c>
      <c r="AI185" s="71">
        <v>2.0187099E-2</v>
      </c>
      <c r="AJ185" s="71">
        <v>2.6997393000000001E-2</v>
      </c>
      <c r="AK185" s="71">
        <v>2.9824330999999999E-2</v>
      </c>
      <c r="AL185" s="71">
        <v>3.1953872000000001E-2</v>
      </c>
      <c r="AM185" s="71">
        <v>3.3002431999999998E-2</v>
      </c>
      <c r="AN185" s="71">
        <v>3.2397768E-2</v>
      </c>
      <c r="AO185" s="71">
        <v>0.33261026199999999</v>
      </c>
      <c r="AP185" s="71">
        <v>0.42517742600000002</v>
      </c>
    </row>
    <row r="186" spans="1:42" x14ac:dyDescent="0.2">
      <c r="A186" t="s">
        <v>272</v>
      </c>
      <c r="B186" t="s">
        <v>112</v>
      </c>
      <c r="C186" t="s">
        <v>276</v>
      </c>
      <c r="D186" t="s">
        <v>275</v>
      </c>
      <c r="E186" s="71">
        <v>1.6932368E-2</v>
      </c>
      <c r="F186" s="71">
        <v>1.9585966999999999E-2</v>
      </c>
      <c r="G186" s="71">
        <v>2.5884151000000001E-2</v>
      </c>
      <c r="H186" s="71">
        <v>3.4675479000000002E-2</v>
      </c>
      <c r="I186" s="71">
        <v>4.0588260000000001E-2</v>
      </c>
      <c r="J186" s="71">
        <v>4.4567822999999999E-2</v>
      </c>
      <c r="K186" s="71">
        <v>4.7351718000000001E-2</v>
      </c>
      <c r="L186" s="71">
        <v>-1.4180256E-2</v>
      </c>
      <c r="M186" s="71">
        <v>-9.3585019999999994E-3</v>
      </c>
      <c r="N186" s="71">
        <v>-4.8411829999999998E-3</v>
      </c>
      <c r="O186" s="71">
        <v>2.2820309999999999E-3</v>
      </c>
      <c r="P186" s="71">
        <v>8.1882840000000005E-3</v>
      </c>
      <c r="Q186" s="71">
        <v>1.3474752E-2</v>
      </c>
      <c r="R186" s="71">
        <v>1.7782328E-2</v>
      </c>
      <c r="S186" s="71">
        <v>4.9449682000000002E-2</v>
      </c>
      <c r="T186" s="71">
        <v>4.9943812999999997E-2</v>
      </c>
      <c r="U186" s="71">
        <v>5.7233997000000002E-2</v>
      </c>
      <c r="V186" s="71">
        <v>6.8347626999999994E-2</v>
      </c>
      <c r="W186" s="71">
        <v>7.4072582999999997E-2</v>
      </c>
      <c r="X186" s="71">
        <v>7.6071646000000007E-2</v>
      </c>
      <c r="Y186" s="71">
        <v>7.7891853999999996E-2</v>
      </c>
      <c r="Z186" s="71">
        <v>-1.8817059999999999E-3</v>
      </c>
      <c r="AA186" s="71">
        <v>-1.1868200000000001E-3</v>
      </c>
      <c r="AB186" s="71">
        <v>8.3718699999999998E-4</v>
      </c>
      <c r="AC186" s="71">
        <v>5.4927960000000003E-3</v>
      </c>
      <c r="AD186" s="71">
        <v>1.1643443999999999E-2</v>
      </c>
      <c r="AE186" s="71">
        <v>1.6020561999999999E-2</v>
      </c>
      <c r="AF186" s="71">
        <v>1.9749573999999999E-2</v>
      </c>
      <c r="AG186" s="71">
        <v>3.6064353E-2</v>
      </c>
      <c r="AH186" s="71">
        <v>4.0756146E-2</v>
      </c>
      <c r="AI186" s="71">
        <v>5.1527913000000002E-2</v>
      </c>
      <c r="AJ186" s="71">
        <v>6.4682278999999995E-2</v>
      </c>
      <c r="AK186" s="71">
        <v>7.0343178000000006E-2</v>
      </c>
      <c r="AL186" s="71">
        <v>7.3902482000000005E-2</v>
      </c>
      <c r="AM186" s="71">
        <v>7.5688473000000006E-2</v>
      </c>
      <c r="AN186" s="71">
        <v>8.3353216999999993E-2</v>
      </c>
      <c r="AO186" s="71">
        <v>0.60291823300000003</v>
      </c>
      <c r="AP186" s="71">
        <v>0.33927095000000002</v>
      </c>
    </row>
    <row r="187" spans="1:42" x14ac:dyDescent="0.2">
      <c r="A187" t="s">
        <v>240</v>
      </c>
      <c r="B187" t="s">
        <v>112</v>
      </c>
      <c r="C187" t="s">
        <v>243</v>
      </c>
      <c r="D187" t="s">
        <v>242</v>
      </c>
      <c r="E187" s="71">
        <v>1.5599966E-2</v>
      </c>
      <c r="F187" s="71">
        <v>1.7646789999999999E-2</v>
      </c>
      <c r="G187" s="71">
        <v>2.2590160000000001E-2</v>
      </c>
      <c r="H187" s="71">
        <v>2.9633283999999999E-2</v>
      </c>
      <c r="I187" s="71">
        <v>3.4445285999999999E-2</v>
      </c>
      <c r="J187" s="71">
        <v>3.7709355E-2</v>
      </c>
      <c r="K187" s="71">
        <v>4.0000795999999998E-2</v>
      </c>
      <c r="L187" s="71">
        <v>-1.9243715000000002E-2</v>
      </c>
      <c r="M187" s="71">
        <v>-1.4047473E-2</v>
      </c>
      <c r="N187" s="71">
        <v>-1.020136E-2</v>
      </c>
      <c r="O187" s="71">
        <v>-4.8020420000000003E-3</v>
      </c>
      <c r="P187" s="71">
        <v>-3.5631999999999998E-4</v>
      </c>
      <c r="Q187" s="71">
        <v>3.224958E-3</v>
      </c>
      <c r="R187" s="71">
        <v>4.9500710000000003E-3</v>
      </c>
      <c r="S187" s="71">
        <v>5.166842E-2</v>
      </c>
      <c r="T187" s="71">
        <v>5.0773198999999998E-2</v>
      </c>
      <c r="U187" s="71">
        <v>5.6744346000000001E-2</v>
      </c>
      <c r="V187" s="71">
        <v>6.5384705000000001E-2</v>
      </c>
      <c r="W187" s="71">
        <v>7.0508574000000004E-2</v>
      </c>
      <c r="X187" s="71">
        <v>7.3830199999999999E-2</v>
      </c>
      <c r="Y187" s="71">
        <v>7.5621761999999995E-2</v>
      </c>
      <c r="Z187" s="71">
        <v>-4.0726340000000003E-3</v>
      </c>
      <c r="AA187" s="71">
        <v>-3.6053489999999999E-3</v>
      </c>
      <c r="AB187" s="71">
        <v>-4.4583349999999999E-3</v>
      </c>
      <c r="AC187" s="71">
        <v>-9.7524600000000003E-4</v>
      </c>
      <c r="AD187" s="71">
        <v>1.379672E-3</v>
      </c>
      <c r="AE187" s="71">
        <v>4.6718569999999997E-3</v>
      </c>
      <c r="AF187" s="71">
        <v>7.2719280000000004E-3</v>
      </c>
      <c r="AG187" s="71">
        <v>3.5661154E-2</v>
      </c>
      <c r="AH187" s="71">
        <v>3.9352327999999999E-2</v>
      </c>
      <c r="AI187" s="71">
        <v>5.0373589000000003E-2</v>
      </c>
      <c r="AJ187" s="71">
        <v>6.1179615E-2</v>
      </c>
      <c r="AK187" s="71">
        <v>6.8602715999999994E-2</v>
      </c>
      <c r="AL187" s="71">
        <v>7.1833345000000007E-2</v>
      </c>
      <c r="AM187" s="71">
        <v>7.3793097000000002E-2</v>
      </c>
      <c r="AN187" s="71">
        <v>9.4077354000000002E-2</v>
      </c>
      <c r="AO187" s="71">
        <v>0.47997704200000002</v>
      </c>
      <c r="AP187" s="71">
        <v>0.39352274500000001</v>
      </c>
    </row>
    <row r="188" spans="1:42" x14ac:dyDescent="0.2">
      <c r="A188" t="s">
        <v>200</v>
      </c>
      <c r="B188" t="s">
        <v>112</v>
      </c>
      <c r="C188" t="s">
        <v>353</v>
      </c>
      <c r="D188" t="s">
        <v>208</v>
      </c>
      <c r="E188" s="71">
        <v>1.3399958999999999E-2</v>
      </c>
      <c r="F188" s="71">
        <v>1.3406515000000001E-2</v>
      </c>
      <c r="G188" s="71">
        <v>1.324141E-2</v>
      </c>
      <c r="H188" s="71">
        <v>1.2758732E-2</v>
      </c>
      <c r="I188" s="71">
        <v>1.2326837E-2</v>
      </c>
      <c r="J188" s="71">
        <v>1.2006044E-2</v>
      </c>
      <c r="K188" s="71">
        <v>1.1773229E-2</v>
      </c>
      <c r="L188" s="71">
        <v>-1.715683E-3</v>
      </c>
      <c r="M188" s="71">
        <v>-1.394157E-3</v>
      </c>
      <c r="N188" s="71">
        <v>-3.1728759999999998E-3</v>
      </c>
      <c r="O188" s="71">
        <v>-5.0587430000000001E-3</v>
      </c>
      <c r="P188" s="71">
        <v>-5.9050439999999999E-3</v>
      </c>
      <c r="Q188" s="71">
        <v>-5.7997040000000001E-3</v>
      </c>
      <c r="R188" s="71">
        <v>-5.2350189999999996E-3</v>
      </c>
      <c r="S188" s="71">
        <v>2.8618200999999999E-2</v>
      </c>
      <c r="T188" s="71">
        <v>2.8374120999999999E-2</v>
      </c>
      <c r="U188" s="71">
        <v>3.045368E-2</v>
      </c>
      <c r="V188" s="71">
        <v>3.0926914999999999E-2</v>
      </c>
      <c r="W188" s="71">
        <v>3.0542720999999998E-2</v>
      </c>
      <c r="X188" s="71">
        <v>3.0011323999999999E-2</v>
      </c>
      <c r="Y188" s="71">
        <v>2.8895948000000001E-2</v>
      </c>
      <c r="Z188" s="71">
        <v>1.763216E-3</v>
      </c>
      <c r="AA188" s="71">
        <v>5.0810600000000003E-4</v>
      </c>
      <c r="AB188" s="71">
        <v>-3.1151310000000001E-3</v>
      </c>
      <c r="AC188" s="71">
        <v>-5.2624020000000002E-3</v>
      </c>
      <c r="AD188" s="71">
        <v>-5.9873950000000004E-3</v>
      </c>
      <c r="AE188" s="71">
        <v>-5.9109439999999996E-3</v>
      </c>
      <c r="AF188" s="71">
        <v>-4.9766669999999997E-3</v>
      </c>
      <c r="AG188" s="71">
        <v>2.5171893000000001E-2</v>
      </c>
      <c r="AH188" s="71">
        <v>2.6471175E-2</v>
      </c>
      <c r="AI188" s="71">
        <v>2.9866435E-2</v>
      </c>
      <c r="AJ188" s="71">
        <v>3.1106340999999999E-2</v>
      </c>
      <c r="AK188" s="71">
        <v>3.0978329999999998E-2</v>
      </c>
      <c r="AL188" s="71">
        <v>3.0245985E-2</v>
      </c>
      <c r="AM188" s="71">
        <v>2.8805137000000001E-2</v>
      </c>
      <c r="AN188" s="71">
        <v>3.3440169999999998E-2</v>
      </c>
      <c r="AO188" s="71">
        <v>-6.2299132E-2</v>
      </c>
      <c r="AP188" s="71">
        <v>0.32848669800000002</v>
      </c>
    </row>
    <row r="189" spans="1:42" x14ac:dyDescent="0.2">
      <c r="A189" t="s">
        <v>288</v>
      </c>
      <c r="B189" t="s">
        <v>112</v>
      </c>
      <c r="C189" t="s">
        <v>327</v>
      </c>
      <c r="D189" t="s">
        <v>291</v>
      </c>
      <c r="E189" s="71">
        <v>5.6557297999999999E-2</v>
      </c>
      <c r="F189" s="71">
        <v>5.5872679000000001E-2</v>
      </c>
      <c r="G189" s="71">
        <v>5.4216503999999999E-2</v>
      </c>
      <c r="H189" s="71">
        <v>5.1864146999999999E-2</v>
      </c>
      <c r="I189" s="71">
        <v>5.0265907999999998E-2</v>
      </c>
      <c r="J189" s="71">
        <v>4.9186348999999997E-2</v>
      </c>
      <c r="K189" s="71">
        <v>4.8431039000000002E-2</v>
      </c>
      <c r="L189" s="71">
        <v>3.2337247E-2</v>
      </c>
      <c r="M189" s="71">
        <v>3.2580478000000003E-2</v>
      </c>
      <c r="N189" s="71">
        <v>2.9983392000000001E-2</v>
      </c>
      <c r="O189" s="71">
        <v>2.6074288000000001E-2</v>
      </c>
      <c r="P189" s="71">
        <v>2.4254885E-2</v>
      </c>
      <c r="Q189" s="71">
        <v>2.4035653000000001E-2</v>
      </c>
      <c r="R189" s="71">
        <v>2.4206676E-2</v>
      </c>
      <c r="S189" s="71">
        <v>8.1314279000000003E-2</v>
      </c>
      <c r="T189" s="71">
        <v>7.9275539000000006E-2</v>
      </c>
      <c r="U189" s="71">
        <v>7.9049110000000006E-2</v>
      </c>
      <c r="V189" s="71">
        <v>7.8310572999999994E-2</v>
      </c>
      <c r="W189" s="71">
        <v>7.6544789000000002E-2</v>
      </c>
      <c r="X189" s="71">
        <v>7.4532380999999995E-2</v>
      </c>
      <c r="Y189" s="71">
        <v>7.3113893999999999E-2</v>
      </c>
      <c r="Z189" s="71">
        <v>4.0204840999999998E-2</v>
      </c>
      <c r="AA189" s="71">
        <v>3.8065219999999997E-2</v>
      </c>
      <c r="AB189" s="71">
        <v>3.3390378999999998E-2</v>
      </c>
      <c r="AC189" s="71">
        <v>2.8177069999999999E-2</v>
      </c>
      <c r="AD189" s="71">
        <v>2.5918264999999999E-2</v>
      </c>
      <c r="AE189" s="71">
        <v>2.4289354999999999E-2</v>
      </c>
      <c r="AF189" s="71">
        <v>2.4650841E-2</v>
      </c>
      <c r="AG189" s="71">
        <v>7.3164955000000004E-2</v>
      </c>
      <c r="AH189" s="71">
        <v>7.3983988000000001E-2</v>
      </c>
      <c r="AI189" s="71">
        <v>7.5460865000000002E-2</v>
      </c>
      <c r="AJ189" s="71">
        <v>7.6095863999999999E-2</v>
      </c>
      <c r="AK189" s="71">
        <v>7.5190290000000007E-2</v>
      </c>
      <c r="AL189" s="71">
        <v>7.4687838000000006E-2</v>
      </c>
      <c r="AM189" s="71">
        <v>7.2762605999999994E-2</v>
      </c>
      <c r="AN189" s="71">
        <v>5.3788250000000003E-2</v>
      </c>
      <c r="AO189" s="71">
        <v>0.58173719499999998</v>
      </c>
      <c r="AP189" s="71">
        <v>8.7904595000000002E-2</v>
      </c>
    </row>
    <row r="190" spans="1:42" x14ac:dyDescent="0.2">
      <c r="A190" t="s">
        <v>272</v>
      </c>
      <c r="B190" t="s">
        <v>112</v>
      </c>
      <c r="C190" t="s">
        <v>333</v>
      </c>
      <c r="D190" t="s">
        <v>274</v>
      </c>
      <c r="E190" s="71">
        <v>2.6702403999999999E-2</v>
      </c>
      <c r="F190" s="71">
        <v>2.7523518E-2</v>
      </c>
      <c r="G190" s="71">
        <v>2.9385089999999999E-2</v>
      </c>
      <c r="H190" s="71">
        <v>3.1831861000000003E-2</v>
      </c>
      <c r="I190" s="71">
        <v>3.3395886E-2</v>
      </c>
      <c r="J190" s="71">
        <v>3.4419417000000001E-2</v>
      </c>
      <c r="K190" s="71">
        <v>3.5125375E-2</v>
      </c>
      <c r="L190" s="71">
        <v>1.0573770999999999E-2</v>
      </c>
      <c r="M190" s="71">
        <v>1.2230322E-2</v>
      </c>
      <c r="N190" s="71">
        <v>1.4336336999999999E-2</v>
      </c>
      <c r="O190" s="71">
        <v>1.6571888999999999E-2</v>
      </c>
      <c r="P190" s="71">
        <v>1.8422778000000001E-2</v>
      </c>
      <c r="Q190" s="71">
        <v>1.9909159999999999E-2</v>
      </c>
      <c r="R190" s="71">
        <v>2.1289615000000001E-2</v>
      </c>
      <c r="S190" s="71">
        <v>4.3242377999999998E-2</v>
      </c>
      <c r="T190" s="71">
        <v>4.2957808E-2</v>
      </c>
      <c r="U190" s="71">
        <v>4.4681990999999997E-2</v>
      </c>
      <c r="V190" s="71">
        <v>4.7578534999999998E-2</v>
      </c>
      <c r="W190" s="71">
        <v>4.8582260000000002E-2</v>
      </c>
      <c r="X190" s="71">
        <v>4.9072079999999997E-2</v>
      </c>
      <c r="Y190" s="71">
        <v>4.9125934000000003E-2</v>
      </c>
      <c r="Z190" s="71">
        <v>1.6652971999999999E-2</v>
      </c>
      <c r="AA190" s="71">
        <v>1.7860322000000001E-2</v>
      </c>
      <c r="AB190" s="71">
        <v>1.8060296E-2</v>
      </c>
      <c r="AC190" s="71">
        <v>1.9241959999999999E-2</v>
      </c>
      <c r="AD190" s="71">
        <v>2.0686700999999998E-2</v>
      </c>
      <c r="AE190" s="71">
        <v>2.2386168000000001E-2</v>
      </c>
      <c r="AF190" s="71">
        <v>2.3655530000000001E-2</v>
      </c>
      <c r="AG190" s="71">
        <v>3.6952561000000002E-2</v>
      </c>
      <c r="AH190" s="71">
        <v>3.7374168999999999E-2</v>
      </c>
      <c r="AI190" s="71">
        <v>4.0917711000000002E-2</v>
      </c>
      <c r="AJ190" s="71">
        <v>4.463955E-2</v>
      </c>
      <c r="AK190" s="71">
        <v>4.6311873000000003E-2</v>
      </c>
      <c r="AL190" s="71">
        <v>4.6633895000000002E-2</v>
      </c>
      <c r="AM190" s="71">
        <v>4.6756880000000001E-2</v>
      </c>
      <c r="AN190" s="71">
        <v>4.2882460999999997E-2</v>
      </c>
      <c r="AO190" s="71">
        <v>0.86116848599999996</v>
      </c>
      <c r="AP190" s="71">
        <v>2.2912082E-2</v>
      </c>
    </row>
    <row r="191" spans="1:42" x14ac:dyDescent="0.2">
      <c r="A191" t="s">
        <v>288</v>
      </c>
      <c r="B191" t="s">
        <v>112</v>
      </c>
      <c r="C191" t="s">
        <v>328</v>
      </c>
      <c r="D191" t="s">
        <v>290</v>
      </c>
      <c r="E191" s="71">
        <v>5.5400013999999997E-2</v>
      </c>
      <c r="F191" s="71">
        <v>5.5091023000000003E-2</v>
      </c>
      <c r="G191" s="71">
        <v>5.4337502000000003E-2</v>
      </c>
      <c r="H191" s="71">
        <v>5.3260087999999997E-2</v>
      </c>
      <c r="I191" s="71">
        <v>5.2525519999999999E-2</v>
      </c>
      <c r="J191" s="71">
        <v>5.2028537E-2</v>
      </c>
      <c r="K191" s="71">
        <v>5.1680683999999998E-2</v>
      </c>
      <c r="L191" s="71">
        <v>1.9912275E-2</v>
      </c>
      <c r="M191" s="71">
        <v>2.2124168999999999E-2</v>
      </c>
      <c r="N191" s="71">
        <v>2.1604126000000001E-2</v>
      </c>
      <c r="O191" s="71">
        <v>1.8851169000000001E-2</v>
      </c>
      <c r="P191" s="71">
        <v>1.8168248000000001E-2</v>
      </c>
      <c r="Q191" s="71">
        <v>1.9037188E-2</v>
      </c>
      <c r="R191" s="71">
        <v>2.0084087E-2</v>
      </c>
      <c r="S191" s="71">
        <v>9.1952152999999995E-2</v>
      </c>
      <c r="T191" s="71">
        <v>8.8906588999999994E-2</v>
      </c>
      <c r="U191" s="71">
        <v>8.9028015000000002E-2</v>
      </c>
      <c r="V191" s="71">
        <v>8.8451407999999995E-2</v>
      </c>
      <c r="W191" s="71">
        <v>8.7801449000000004E-2</v>
      </c>
      <c r="X191" s="71">
        <v>8.5770807000000004E-2</v>
      </c>
      <c r="Y191" s="71">
        <v>8.4341578E-2</v>
      </c>
      <c r="Z191" s="71">
        <v>3.3979184000000003E-2</v>
      </c>
      <c r="AA191" s="71">
        <v>3.2209319E-2</v>
      </c>
      <c r="AB191" s="71">
        <v>2.9501151E-2</v>
      </c>
      <c r="AC191" s="71">
        <v>2.44902E-2</v>
      </c>
      <c r="AD191" s="71">
        <v>2.2483046999999999E-2</v>
      </c>
      <c r="AE191" s="71">
        <v>2.1850352999999999E-2</v>
      </c>
      <c r="AF191" s="71">
        <v>2.3204018999999999E-2</v>
      </c>
      <c r="AG191" s="71">
        <v>7.7264514000000006E-2</v>
      </c>
      <c r="AH191" s="71">
        <v>7.8480009000000003E-2</v>
      </c>
      <c r="AI191" s="71">
        <v>7.9772912000000001E-2</v>
      </c>
      <c r="AJ191" s="71">
        <v>8.2837955000000005E-2</v>
      </c>
      <c r="AK191" s="71">
        <v>8.3450620000000003E-2</v>
      </c>
      <c r="AL191" s="71">
        <v>8.3098079000000005E-2</v>
      </c>
      <c r="AM191" s="71">
        <v>8.0949756999999997E-2</v>
      </c>
      <c r="AN191" s="71">
        <v>9.1644096999999994E-2</v>
      </c>
      <c r="AO191" s="71">
        <v>0.823861183</v>
      </c>
      <c r="AP191" s="71">
        <v>-7.2477738E-2</v>
      </c>
    </row>
    <row r="192" spans="1:42" x14ac:dyDescent="0.2">
      <c r="A192" t="s">
        <v>240</v>
      </c>
      <c r="B192" t="s">
        <v>112</v>
      </c>
      <c r="C192" t="s">
        <v>251</v>
      </c>
      <c r="D192" t="s">
        <v>250</v>
      </c>
      <c r="E192" s="71">
        <v>2.1929026000000001E-2</v>
      </c>
      <c r="F192" s="71">
        <v>2.1929026000000001E-2</v>
      </c>
      <c r="G192" s="71">
        <v>2.1928906000000001E-2</v>
      </c>
      <c r="H192" s="71">
        <v>2.1928787000000002E-2</v>
      </c>
      <c r="I192" s="71">
        <v>2.1928548999999999E-2</v>
      </c>
      <c r="J192" s="71">
        <v>2.1928429999999999E-2</v>
      </c>
      <c r="K192" s="71">
        <v>2.1928191E-2</v>
      </c>
      <c r="L192" s="71">
        <v>2.1843254999999999E-2</v>
      </c>
      <c r="M192" s="71">
        <v>2.0212882000000001E-2</v>
      </c>
      <c r="N192" s="71">
        <v>1.7455353E-2</v>
      </c>
      <c r="O192" s="71">
        <v>1.3711686000000001E-2</v>
      </c>
      <c r="P192" s="71">
        <v>1.0649570000000001E-2</v>
      </c>
      <c r="Q192" s="71">
        <v>7.8987350000000005E-3</v>
      </c>
      <c r="R192" s="71">
        <v>5.5882320000000003E-3</v>
      </c>
      <c r="S192" s="71">
        <v>2.2014875E-2</v>
      </c>
      <c r="T192" s="71">
        <v>2.3648075000000001E-2</v>
      </c>
      <c r="U192" s="71">
        <v>2.6422231000000001E-2</v>
      </c>
      <c r="V192" s="71">
        <v>3.0212512E-2</v>
      </c>
      <c r="W192" s="71">
        <v>3.3333550000000003E-2</v>
      </c>
      <c r="X192" s="71">
        <v>3.6153428000000001E-2</v>
      </c>
      <c r="Y192" s="71">
        <v>3.8533786E-2</v>
      </c>
      <c r="Z192" s="71">
        <v>2.1842015999999999E-2</v>
      </c>
      <c r="AA192" s="71">
        <v>2.0211131E-2</v>
      </c>
      <c r="AB192" s="71">
        <v>1.7215119000000001E-2</v>
      </c>
      <c r="AC192" s="71">
        <v>1.3991879E-2</v>
      </c>
      <c r="AD192" s="71">
        <v>1.0995496E-2</v>
      </c>
      <c r="AE192" s="71">
        <v>8.8911890000000007E-3</v>
      </c>
      <c r="AF192" s="71">
        <v>6.6726670000000002E-3</v>
      </c>
      <c r="AG192" s="71">
        <v>2.2016112000000001E-2</v>
      </c>
      <c r="AH192" s="71">
        <v>2.3649832999999999E-2</v>
      </c>
      <c r="AI192" s="71">
        <v>2.6664644000000001E-2</v>
      </c>
      <c r="AJ192" s="71">
        <v>2.9927840000000001E-2</v>
      </c>
      <c r="AK192" s="71">
        <v>3.2979975000000002E-2</v>
      </c>
      <c r="AL192" s="71">
        <v>3.5134153000000001E-2</v>
      </c>
      <c r="AM192" s="71">
        <v>3.741502E-2</v>
      </c>
      <c r="AN192" s="71">
        <v>0</v>
      </c>
      <c r="AO192" s="71">
        <v>0</v>
      </c>
      <c r="AP192" s="71">
        <v>0</v>
      </c>
    </row>
    <row r="193" spans="1:42" x14ac:dyDescent="0.2">
      <c r="A193" t="s">
        <v>138</v>
      </c>
      <c r="B193" t="s">
        <v>112</v>
      </c>
      <c r="C193" t="s">
        <v>366</v>
      </c>
      <c r="D193" t="s">
        <v>154</v>
      </c>
      <c r="E193" s="71">
        <v>3.8337349999999999E-2</v>
      </c>
      <c r="F193" s="71">
        <v>3.8109540999999997E-2</v>
      </c>
      <c r="G193" s="75">
        <v>3.7507057000000003E-2</v>
      </c>
      <c r="H193" s="71">
        <v>3.6520362000000001E-2</v>
      </c>
      <c r="I193" s="71">
        <v>3.5736917999999999E-2</v>
      </c>
      <c r="J193" s="71">
        <v>3.5140513999999998E-2</v>
      </c>
      <c r="K193" s="71">
        <v>3.4685492999999998E-2</v>
      </c>
      <c r="L193" s="71">
        <v>3.8249542999999997E-2</v>
      </c>
      <c r="M193" s="71">
        <v>3.5769117000000003E-2</v>
      </c>
      <c r="N193" s="71">
        <v>3.2034226999999998E-2</v>
      </c>
      <c r="O193" s="71">
        <v>2.8038232999999999E-2</v>
      </c>
      <c r="P193" s="71">
        <v>2.6196301000000002E-2</v>
      </c>
      <c r="Q193" s="71">
        <v>2.5263332999999999E-2</v>
      </c>
      <c r="R193" s="71">
        <v>2.4467847000000001E-2</v>
      </c>
      <c r="S193" s="71">
        <v>3.8424939999999998E-2</v>
      </c>
      <c r="T193" s="71">
        <v>4.0455448999999997E-2</v>
      </c>
      <c r="U193" s="71">
        <v>4.3008945E-2</v>
      </c>
      <c r="V193" s="71">
        <v>4.5072309999999997E-2</v>
      </c>
      <c r="W193" s="71">
        <v>4.5366159000000003E-2</v>
      </c>
      <c r="X193" s="71">
        <v>4.5112779999999998E-2</v>
      </c>
      <c r="Y193" s="71">
        <v>4.5005100999999999E-2</v>
      </c>
      <c r="Z193" s="71">
        <v>3.8248666000000001E-2</v>
      </c>
      <c r="AA193" s="71">
        <v>3.5803674000000001E-2</v>
      </c>
      <c r="AB193" s="71">
        <v>3.2385120000000003E-2</v>
      </c>
      <c r="AC193" s="71">
        <v>2.7978083000000001E-2</v>
      </c>
      <c r="AD193" s="71">
        <v>2.5976935999999999E-2</v>
      </c>
      <c r="AE193" s="71">
        <v>2.4282055E-2</v>
      </c>
      <c r="AF193" s="71">
        <v>2.4188398999999999E-2</v>
      </c>
      <c r="AG193" s="71">
        <v>3.8425819999999999E-2</v>
      </c>
      <c r="AH193" s="71">
        <v>4.0420738999999997E-2</v>
      </c>
      <c r="AI193" s="71">
        <v>4.2654438000000003E-2</v>
      </c>
      <c r="AJ193" s="71">
        <v>4.5133456000000002E-2</v>
      </c>
      <c r="AK193" s="71">
        <v>4.5589676000000003E-2</v>
      </c>
      <c r="AL193" s="71">
        <v>4.6114016000000001E-2</v>
      </c>
      <c r="AM193" s="71">
        <v>4.5290210999999997E-2</v>
      </c>
      <c r="AN193" s="71">
        <v>0</v>
      </c>
      <c r="AO193" s="71">
        <v>0</v>
      </c>
      <c r="AP193" s="71">
        <v>0</v>
      </c>
    </row>
    <row r="194" spans="1:42" x14ac:dyDescent="0.2">
      <c r="A194" t="s">
        <v>288</v>
      </c>
      <c r="B194" t="s">
        <v>112</v>
      </c>
      <c r="C194" t="s">
        <v>295</v>
      </c>
      <c r="D194" t="s">
        <v>294</v>
      </c>
      <c r="E194" s="71">
        <v>3.6702990999999997E-2</v>
      </c>
      <c r="F194" s="71">
        <v>3.6716222999999999E-2</v>
      </c>
      <c r="G194" s="71">
        <v>3.6738157E-2</v>
      </c>
      <c r="H194" s="71">
        <v>3.6758422999999998E-2</v>
      </c>
      <c r="I194" s="71">
        <v>3.6768794E-2</v>
      </c>
      <c r="J194" s="71">
        <v>3.6775111999999999E-2</v>
      </c>
      <c r="K194" s="71">
        <v>3.6779165000000003E-2</v>
      </c>
      <c r="L194" s="71">
        <v>3.6617508999999999E-2</v>
      </c>
      <c r="M194" s="71">
        <v>3.5958436000000003E-2</v>
      </c>
      <c r="N194" s="71">
        <v>3.5542667999999999E-2</v>
      </c>
      <c r="O194" s="71">
        <v>3.5440329E-2</v>
      </c>
      <c r="P194" s="71">
        <v>3.5535621000000003E-2</v>
      </c>
      <c r="Q194" s="71">
        <v>3.5582958999999997E-2</v>
      </c>
      <c r="R194" s="71">
        <v>3.5689248E-2</v>
      </c>
      <c r="S194" s="71">
        <v>3.6788423000000001E-2</v>
      </c>
      <c r="T194" s="71">
        <v>3.7474737000000001E-2</v>
      </c>
      <c r="U194" s="71">
        <v>3.7934963000000002E-2</v>
      </c>
      <c r="V194" s="71">
        <v>3.8078131000000001E-2</v>
      </c>
      <c r="W194" s="71">
        <v>3.8003413999999999E-2</v>
      </c>
      <c r="X194" s="71">
        <v>3.7968472000000003E-2</v>
      </c>
      <c r="Y194" s="71">
        <v>3.7870270999999997E-2</v>
      </c>
      <c r="Z194" s="71">
        <v>3.6619072000000003E-2</v>
      </c>
      <c r="AA194" s="71">
        <v>3.5984332000000001E-2</v>
      </c>
      <c r="AB194" s="71">
        <v>3.5536383999999997E-2</v>
      </c>
      <c r="AC194" s="71">
        <v>3.5510394000000001E-2</v>
      </c>
      <c r="AD194" s="71">
        <v>3.5550901000000003E-2</v>
      </c>
      <c r="AE194" s="71">
        <v>3.5650141000000003E-2</v>
      </c>
      <c r="AF194" s="71">
        <v>3.5762349999999998E-2</v>
      </c>
      <c r="AG194" s="71">
        <v>3.6786864000000002E-2</v>
      </c>
      <c r="AH194" s="71">
        <v>3.7448799999999997E-2</v>
      </c>
      <c r="AI194" s="71">
        <v>3.7941265000000002E-2</v>
      </c>
      <c r="AJ194" s="71">
        <v>3.8007896999999999E-2</v>
      </c>
      <c r="AK194" s="71">
        <v>3.7988099999999997E-2</v>
      </c>
      <c r="AL194" s="71">
        <v>3.7901134000000003E-2</v>
      </c>
      <c r="AM194" s="71">
        <v>3.7797025999999997E-2</v>
      </c>
      <c r="AN194" s="71">
        <v>0</v>
      </c>
      <c r="AO194" s="71">
        <v>0</v>
      </c>
      <c r="AP194" s="71">
        <v>0</v>
      </c>
    </row>
    <row r="195" spans="1:42" x14ac:dyDescent="0.2">
      <c r="A195" t="s">
        <v>259</v>
      </c>
      <c r="B195" t="s">
        <v>112</v>
      </c>
      <c r="C195" t="s">
        <v>267</v>
      </c>
      <c r="D195" t="s">
        <v>266</v>
      </c>
      <c r="E195" s="71">
        <v>2.7266740000000001E-3</v>
      </c>
      <c r="F195" s="71">
        <v>3.7779810000000001E-3</v>
      </c>
      <c r="G195" s="71">
        <v>6.0921910000000003E-3</v>
      </c>
      <c r="H195" s="71">
        <v>8.9942219999999996E-3</v>
      </c>
      <c r="I195" s="71">
        <v>1.0758758E-2</v>
      </c>
      <c r="J195" s="71">
        <v>1.1876701999999999E-2</v>
      </c>
      <c r="K195" s="71">
        <v>1.2634039E-2</v>
      </c>
      <c r="L195" s="71">
        <v>2.6439060000000001E-3</v>
      </c>
      <c r="M195" s="71">
        <v>2.2514280000000002E-3</v>
      </c>
      <c r="N195" s="71">
        <v>2.9971199999999998E-3</v>
      </c>
      <c r="O195" s="71">
        <v>5.0504460000000001E-3</v>
      </c>
      <c r="P195" s="71">
        <v>6.6614839999999996E-3</v>
      </c>
      <c r="Q195" s="71">
        <v>7.8276539999999999E-3</v>
      </c>
      <c r="R195" s="71">
        <v>8.8417549999999998E-3</v>
      </c>
      <c r="S195" s="71">
        <v>2.8093520000000002E-3</v>
      </c>
      <c r="T195" s="71">
        <v>5.3068530000000003E-3</v>
      </c>
      <c r="U195" s="71">
        <v>9.1967639999999996E-3</v>
      </c>
      <c r="V195" s="71">
        <v>1.2953309E-2</v>
      </c>
      <c r="W195" s="71">
        <v>1.4872639999999999E-2</v>
      </c>
      <c r="X195" s="71">
        <v>1.5942055E-2</v>
      </c>
      <c r="Y195" s="71">
        <v>1.6440362E-2</v>
      </c>
      <c r="Z195" s="71">
        <v>2.641268E-3</v>
      </c>
      <c r="AA195" s="71">
        <v>2.1590870000000001E-3</v>
      </c>
      <c r="AB195" s="71">
        <v>3.0915159999999999E-3</v>
      </c>
      <c r="AC195" s="71">
        <v>4.8796320000000001E-3</v>
      </c>
      <c r="AD195" s="71">
        <v>6.504541E-3</v>
      </c>
      <c r="AE195" s="71">
        <v>7.9054959999999997E-3</v>
      </c>
      <c r="AF195" s="71">
        <v>8.8174710000000003E-3</v>
      </c>
      <c r="AG195" s="71">
        <v>2.8119899999999999E-3</v>
      </c>
      <c r="AH195" s="71">
        <v>5.3994849999999999E-3</v>
      </c>
      <c r="AI195" s="71">
        <v>9.1017949999999993E-3</v>
      </c>
      <c r="AJ195" s="71">
        <v>1.3125493E-2</v>
      </c>
      <c r="AK195" s="71">
        <v>1.5030889E-2</v>
      </c>
      <c r="AL195" s="71">
        <v>1.5863595000000001E-2</v>
      </c>
      <c r="AM195" s="71">
        <v>1.646483E-2</v>
      </c>
      <c r="AN195" s="71">
        <v>0</v>
      </c>
      <c r="AO195" s="71">
        <v>0</v>
      </c>
      <c r="AP195" s="71">
        <v>0</v>
      </c>
    </row>
    <row r="196" spans="1:42" x14ac:dyDescent="0.2">
      <c r="A196" t="s">
        <v>224</v>
      </c>
      <c r="B196" t="s">
        <v>112</v>
      </c>
      <c r="C196" t="s">
        <v>235</v>
      </c>
      <c r="D196" t="s">
        <v>234</v>
      </c>
      <c r="E196" s="71">
        <v>3.5639166999999999E-2</v>
      </c>
      <c r="F196" s="71">
        <v>3.5171269999999998E-2</v>
      </c>
      <c r="G196" s="71">
        <v>3.3931731999999999E-2</v>
      </c>
      <c r="H196" s="71">
        <v>3.1901359999999997E-2</v>
      </c>
      <c r="I196" s="71">
        <v>3.0288696E-2</v>
      </c>
      <c r="J196" s="71">
        <v>2.9060483000000002E-2</v>
      </c>
      <c r="K196" s="71">
        <v>2.8123021000000002E-2</v>
      </c>
      <c r="L196" s="71">
        <v>3.5550112000000002E-2</v>
      </c>
      <c r="M196" s="71">
        <v>3.3772704000000001E-2</v>
      </c>
      <c r="N196" s="71">
        <v>3.0726674999999998E-2</v>
      </c>
      <c r="O196" s="71">
        <v>2.7252263999999998E-2</v>
      </c>
      <c r="P196" s="71">
        <v>2.5030525000000001E-2</v>
      </c>
      <c r="Q196" s="71">
        <v>2.3484215999999999E-2</v>
      </c>
      <c r="R196" s="71">
        <v>2.2452127999999998E-2</v>
      </c>
      <c r="S196" s="71">
        <v>3.5728197000000003E-2</v>
      </c>
      <c r="T196" s="71">
        <v>3.6571510000000002E-2</v>
      </c>
      <c r="U196" s="71">
        <v>3.7146814E-2</v>
      </c>
      <c r="V196" s="71">
        <v>3.6571390000000002E-2</v>
      </c>
      <c r="W196" s="71">
        <v>3.5573762000000002E-2</v>
      </c>
      <c r="X196" s="71">
        <v>3.4666958999999997E-2</v>
      </c>
      <c r="Y196" s="71">
        <v>3.3825411999999999E-2</v>
      </c>
      <c r="Z196" s="71">
        <v>3.5556715000000003E-2</v>
      </c>
      <c r="AA196" s="71">
        <v>3.3803925999999998E-2</v>
      </c>
      <c r="AB196" s="71">
        <v>3.0682228999999998E-2</v>
      </c>
      <c r="AC196" s="71">
        <v>2.7324870000000001E-2</v>
      </c>
      <c r="AD196" s="71">
        <v>2.4940502E-2</v>
      </c>
      <c r="AE196" s="71">
        <v>2.3517954000000001E-2</v>
      </c>
      <c r="AF196" s="71">
        <v>2.2551754E-2</v>
      </c>
      <c r="AG196" s="71">
        <v>3.5721597000000001E-2</v>
      </c>
      <c r="AH196" s="71">
        <v>3.6540202000000001E-2</v>
      </c>
      <c r="AI196" s="71">
        <v>3.7191539000000003E-2</v>
      </c>
      <c r="AJ196" s="71">
        <v>3.6498136E-2</v>
      </c>
      <c r="AK196" s="71">
        <v>3.5664723000000002E-2</v>
      </c>
      <c r="AL196" s="71">
        <v>3.4632850999999999E-2</v>
      </c>
      <c r="AM196" s="71">
        <v>3.3724682999999998E-2</v>
      </c>
      <c r="AN196" s="71">
        <v>0</v>
      </c>
      <c r="AO196" s="71">
        <v>0</v>
      </c>
      <c r="AP196" s="71">
        <v>0</v>
      </c>
    </row>
    <row r="197" spans="1:42" x14ac:dyDescent="0.2">
      <c r="A197" t="s">
        <v>164</v>
      </c>
      <c r="B197" t="s">
        <v>112</v>
      </c>
      <c r="C197" t="s">
        <v>168</v>
      </c>
      <c r="D197" t="s">
        <v>167</v>
      </c>
      <c r="E197" s="71">
        <v>1.7348886000000001E-2</v>
      </c>
      <c r="F197" s="71">
        <v>1.7957449E-2</v>
      </c>
      <c r="G197" s="71">
        <v>1.9508243000000001E-2</v>
      </c>
      <c r="H197" s="71">
        <v>2.1900177E-2</v>
      </c>
      <c r="I197" s="71">
        <v>2.3675799000000001E-2</v>
      </c>
      <c r="J197" s="71">
        <v>2.4955392E-2</v>
      </c>
      <c r="K197" s="71">
        <v>2.5890827000000002E-2</v>
      </c>
      <c r="L197" s="71">
        <v>1.7261248E-2</v>
      </c>
      <c r="M197" s="71">
        <v>1.7683257000000001E-2</v>
      </c>
      <c r="N197" s="71">
        <v>1.8937836E-2</v>
      </c>
      <c r="O197" s="71">
        <v>2.1056367999999999E-2</v>
      </c>
      <c r="P197" s="71">
        <v>2.2731036E-2</v>
      </c>
      <c r="Q197" s="71">
        <v>2.3983313999999999E-2</v>
      </c>
      <c r="R197" s="71">
        <v>2.4917090999999999E-2</v>
      </c>
      <c r="S197" s="71">
        <v>1.7436303E-2</v>
      </c>
      <c r="T197" s="71">
        <v>1.8231798E-2</v>
      </c>
      <c r="U197" s="71">
        <v>2.0078967E-2</v>
      </c>
      <c r="V197" s="71">
        <v>2.2744588999999999E-2</v>
      </c>
      <c r="W197" s="71">
        <v>2.4621278999999999E-2</v>
      </c>
      <c r="X197" s="71">
        <v>2.592821E-2</v>
      </c>
      <c r="Y197" s="71">
        <v>2.6865508E-2</v>
      </c>
      <c r="Z197" s="71">
        <v>1.7264826E-2</v>
      </c>
      <c r="AA197" s="71">
        <v>1.7682742000000001E-2</v>
      </c>
      <c r="AB197" s="71">
        <v>1.8942161999999999E-2</v>
      </c>
      <c r="AC197" s="71">
        <v>2.1055262000000002E-2</v>
      </c>
      <c r="AD197" s="71">
        <v>2.2736064E-2</v>
      </c>
      <c r="AE197" s="71">
        <v>2.3973891000000001E-2</v>
      </c>
      <c r="AF197" s="71">
        <v>2.4914660000000002E-2</v>
      </c>
      <c r="AG197" s="71">
        <v>1.7432725E-2</v>
      </c>
      <c r="AH197" s="71">
        <v>1.8232313E-2</v>
      </c>
      <c r="AI197" s="71">
        <v>2.0074637999999999E-2</v>
      </c>
      <c r="AJ197" s="71">
        <v>2.2745690999999998E-2</v>
      </c>
      <c r="AK197" s="71">
        <v>2.4616242E-2</v>
      </c>
      <c r="AL197" s="71">
        <v>2.5937651999999999E-2</v>
      </c>
      <c r="AM197" s="71">
        <v>2.6867939E-2</v>
      </c>
      <c r="AN197" s="71">
        <v>0</v>
      </c>
      <c r="AO197" s="71">
        <v>0</v>
      </c>
      <c r="AP197" s="71">
        <v>0</v>
      </c>
    </row>
    <row r="198" spans="1:42" x14ac:dyDescent="0.2">
      <c r="A198" t="s">
        <v>200</v>
      </c>
      <c r="B198" t="s">
        <v>112</v>
      </c>
      <c r="C198" t="s">
        <v>211</v>
      </c>
      <c r="D198" t="s">
        <v>210</v>
      </c>
      <c r="E198" s="71">
        <v>7.4077839999999997E-3</v>
      </c>
      <c r="F198" s="71">
        <v>7.7829359999999998E-3</v>
      </c>
      <c r="G198" s="71">
        <v>8.5060599999999993E-3</v>
      </c>
      <c r="H198" s="71">
        <v>9.2831849999999994E-3</v>
      </c>
      <c r="I198" s="71">
        <v>9.7075700000000004E-3</v>
      </c>
      <c r="J198" s="71">
        <v>9.9654199999999991E-3</v>
      </c>
      <c r="K198" s="71">
        <v>1.0137795999999999E-2</v>
      </c>
      <c r="L198" s="71">
        <v>7.3209299999999998E-3</v>
      </c>
      <c r="M198" s="71">
        <v>6.2936190000000003E-3</v>
      </c>
      <c r="N198" s="71">
        <v>5.7033600000000002E-3</v>
      </c>
      <c r="O198" s="71">
        <v>6.0328739999999997E-3</v>
      </c>
      <c r="P198" s="71">
        <v>6.4943939999999997E-3</v>
      </c>
      <c r="Q198" s="71">
        <v>6.9701290000000003E-3</v>
      </c>
      <c r="R198" s="71">
        <v>7.2765169999999997E-3</v>
      </c>
      <c r="S198" s="71">
        <v>7.4948289999999997E-3</v>
      </c>
      <c r="T198" s="71">
        <v>9.2743180000000001E-3</v>
      </c>
      <c r="U198" s="71">
        <v>1.1316557E-2</v>
      </c>
      <c r="V198" s="71">
        <v>1.2543917E-2</v>
      </c>
      <c r="W198" s="71">
        <v>1.2930769999999999E-2</v>
      </c>
      <c r="X198" s="71">
        <v>1.2969592E-2</v>
      </c>
      <c r="Y198" s="71">
        <v>1.3007054000000001E-2</v>
      </c>
      <c r="Z198" s="71">
        <v>7.3216669999999996E-3</v>
      </c>
      <c r="AA198" s="71">
        <v>6.2504270000000002E-3</v>
      </c>
      <c r="AB198" s="71">
        <v>5.7456419999999996E-3</v>
      </c>
      <c r="AC198" s="71">
        <v>6.0906959999999996E-3</v>
      </c>
      <c r="AD198" s="71">
        <v>6.3760079999999998E-3</v>
      </c>
      <c r="AE198" s="71">
        <v>6.8054029999999998E-3</v>
      </c>
      <c r="AF198" s="71">
        <v>7.0673109999999997E-3</v>
      </c>
      <c r="AG198" s="71">
        <v>7.4940939999999998E-3</v>
      </c>
      <c r="AH198" s="71">
        <v>9.3176400000000003E-3</v>
      </c>
      <c r="AI198" s="71">
        <v>1.1274041E-2</v>
      </c>
      <c r="AJ198" s="71">
        <v>1.2485724E-2</v>
      </c>
      <c r="AK198" s="71">
        <v>1.3049928000000001E-2</v>
      </c>
      <c r="AL198" s="71">
        <v>1.3135323000000001E-2</v>
      </c>
      <c r="AM198" s="71">
        <v>1.3217494E-2</v>
      </c>
      <c r="AN198" s="71">
        <v>0</v>
      </c>
      <c r="AO198" s="71">
        <v>0</v>
      </c>
      <c r="AP198" s="71">
        <v>0</v>
      </c>
    </row>
    <row r="199" spans="1:42" x14ac:dyDescent="0.2">
      <c r="A199" t="s">
        <v>272</v>
      </c>
      <c r="B199" t="s">
        <v>112</v>
      </c>
      <c r="C199" t="s">
        <v>334</v>
      </c>
      <c r="D199" t="s">
        <v>273</v>
      </c>
      <c r="E199" s="71">
        <v>3.9399147000000002E-2</v>
      </c>
      <c r="F199" s="71">
        <v>3.9776564E-2</v>
      </c>
      <c r="G199" s="71">
        <v>4.0566801999999999E-2</v>
      </c>
      <c r="H199" s="71">
        <v>4.1489720000000001E-2</v>
      </c>
      <c r="I199" s="71">
        <v>4.2014718E-2</v>
      </c>
      <c r="J199" s="71">
        <v>4.2334914000000001E-2</v>
      </c>
      <c r="K199" s="71">
        <v>4.2547702999999999E-2</v>
      </c>
      <c r="L199" s="71">
        <v>1.0279547E-2</v>
      </c>
      <c r="M199" s="71">
        <v>1.1980497E-2</v>
      </c>
      <c r="N199" s="71">
        <v>1.1402766999999999E-2</v>
      </c>
      <c r="O199" s="71">
        <v>1.1012763E-2</v>
      </c>
      <c r="P199" s="71">
        <v>1.1165473E-2</v>
      </c>
      <c r="Q199" s="71">
        <v>1.3129432E-2</v>
      </c>
      <c r="R199" s="71">
        <v>1.4890952000000001E-2</v>
      </c>
      <c r="S199" s="71">
        <v>6.9525421000000004E-2</v>
      </c>
      <c r="T199" s="71">
        <v>6.8152580000000004E-2</v>
      </c>
      <c r="U199" s="71">
        <v>7.0771285000000003E-2</v>
      </c>
      <c r="V199" s="71">
        <v>7.3230983999999999E-2</v>
      </c>
      <c r="W199" s="71">
        <v>7.3389592000000003E-2</v>
      </c>
      <c r="X199" s="71">
        <v>7.2510014999999997E-2</v>
      </c>
      <c r="Y199" s="71">
        <v>7.1348834999999999E-2</v>
      </c>
      <c r="Z199" s="71">
        <v>1.8909849999999999E-2</v>
      </c>
      <c r="AA199" s="71">
        <v>1.7671408999999999E-2</v>
      </c>
      <c r="AB199" s="71">
        <v>1.4920789E-2</v>
      </c>
      <c r="AC199" s="71">
        <v>1.4072741E-2</v>
      </c>
      <c r="AD199" s="71">
        <v>1.3211501E-2</v>
      </c>
      <c r="AE199" s="71">
        <v>1.4690971000000001E-2</v>
      </c>
      <c r="AF199" s="71">
        <v>1.4950401E-2</v>
      </c>
      <c r="AG199" s="71">
        <v>6.0263372000000003E-2</v>
      </c>
      <c r="AH199" s="71">
        <v>6.2326988999999999E-2</v>
      </c>
      <c r="AI199" s="71">
        <v>6.6831028000000001E-2</v>
      </c>
      <c r="AJ199" s="71">
        <v>6.9625268000000004E-2</v>
      </c>
      <c r="AK199" s="71">
        <v>7.1618969000000005E-2</v>
      </c>
      <c r="AL199" s="71">
        <v>7.0717561999999998E-2</v>
      </c>
      <c r="AM199" s="71">
        <v>7.0883359000000007E-2</v>
      </c>
      <c r="AN199" s="71">
        <v>6.6243517000000002E-2</v>
      </c>
      <c r="AO199" s="71">
        <v>0.54905209099999996</v>
      </c>
      <c r="AP199" s="71">
        <v>0.24783253799999999</v>
      </c>
    </row>
    <row r="200" spans="1:42" x14ac:dyDescent="0.2">
      <c r="A200" t="s">
        <v>178</v>
      </c>
      <c r="B200" t="s">
        <v>112</v>
      </c>
      <c r="C200" t="s">
        <v>184</v>
      </c>
      <c r="D200" t="s">
        <v>183</v>
      </c>
      <c r="E200" s="71">
        <v>3.9299964999999999E-2</v>
      </c>
      <c r="F200" s="71">
        <v>3.9790869E-2</v>
      </c>
      <c r="G200" s="71">
        <v>4.0657282000000003E-2</v>
      </c>
      <c r="H200" s="71">
        <v>4.1477202999999997E-2</v>
      </c>
      <c r="I200" s="71">
        <v>4.1874766000000001E-2</v>
      </c>
      <c r="J200" s="71">
        <v>4.2101621999999998E-2</v>
      </c>
      <c r="K200" s="71">
        <v>4.2248726E-2</v>
      </c>
      <c r="L200" s="71">
        <v>2.8877052E-2</v>
      </c>
      <c r="M200" s="71">
        <v>2.9662397E-2</v>
      </c>
      <c r="N200" s="71">
        <v>2.9959487E-2</v>
      </c>
      <c r="O200" s="71">
        <v>3.0438439000000001E-2</v>
      </c>
      <c r="P200" s="71">
        <v>3.0888209999999999E-2</v>
      </c>
      <c r="Q200" s="71">
        <v>3.1468739000000003E-2</v>
      </c>
      <c r="R200" s="71">
        <v>3.2232631999999997E-2</v>
      </c>
      <c r="S200" s="71">
        <v>4.9687346E-2</v>
      </c>
      <c r="T200" s="71">
        <v>4.9982782000000003E-2</v>
      </c>
      <c r="U200" s="71">
        <v>5.1383054999999997E-2</v>
      </c>
      <c r="V200" s="71">
        <v>5.2844191999999998E-2</v>
      </c>
      <c r="W200" s="71">
        <v>5.2906458000000003E-2</v>
      </c>
      <c r="X200" s="71">
        <v>5.2717245000000003E-2</v>
      </c>
      <c r="Y200" s="71">
        <v>5.2432279999999998E-2</v>
      </c>
      <c r="Z200" s="71">
        <v>3.2530179999999999E-2</v>
      </c>
      <c r="AA200" s="71">
        <v>3.2325956000000003E-2</v>
      </c>
      <c r="AB200" s="71">
        <v>3.1523344000000002E-2</v>
      </c>
      <c r="AC200" s="71">
        <v>3.1105469E-2</v>
      </c>
      <c r="AD200" s="71">
        <v>3.1719258E-2</v>
      </c>
      <c r="AE200" s="71">
        <v>3.2238714000000002E-2</v>
      </c>
      <c r="AF200" s="71">
        <v>3.2852477999999997E-2</v>
      </c>
      <c r="AG200" s="71">
        <v>4.6114136E-2</v>
      </c>
      <c r="AH200" s="71">
        <v>4.7309894999999998E-2</v>
      </c>
      <c r="AI200" s="71">
        <v>4.9872149999999997E-2</v>
      </c>
      <c r="AJ200" s="71">
        <v>5.1953152000000002E-2</v>
      </c>
      <c r="AK200" s="71">
        <v>5.2130322E-2</v>
      </c>
      <c r="AL200" s="71">
        <v>5.2058818E-2</v>
      </c>
      <c r="AM200" s="71">
        <v>5.1730460999999998E-2</v>
      </c>
      <c r="AN200" s="71">
        <v>2.4751492E-2</v>
      </c>
      <c r="AO200" s="71">
        <v>0.67736846399999995</v>
      </c>
      <c r="AP200" s="71">
        <v>5.4235551E-2</v>
      </c>
    </row>
    <row r="201" spans="1:42" x14ac:dyDescent="0.2">
      <c r="A201" t="s">
        <v>272</v>
      </c>
      <c r="B201" t="s">
        <v>112</v>
      </c>
      <c r="C201" t="s">
        <v>283</v>
      </c>
      <c r="D201" t="s">
        <v>282</v>
      </c>
      <c r="E201" s="71">
        <v>2.5755285999999999E-2</v>
      </c>
      <c r="F201" s="71">
        <v>2.6196002999999999E-2</v>
      </c>
      <c r="G201" s="71">
        <v>2.7140141E-2</v>
      </c>
      <c r="H201" s="71">
        <v>2.8283954E-2</v>
      </c>
      <c r="I201" s="71">
        <v>2.8960586E-2</v>
      </c>
      <c r="J201" s="71">
        <v>2.9383778999999999E-2</v>
      </c>
      <c r="K201" s="71">
        <v>2.9668808000000001E-2</v>
      </c>
      <c r="L201" s="71">
        <v>2.5667780000000001E-2</v>
      </c>
      <c r="M201" s="71">
        <v>2.4837175E-2</v>
      </c>
      <c r="N201" s="71">
        <v>2.4509065E-2</v>
      </c>
      <c r="O201" s="71">
        <v>2.4963729E-2</v>
      </c>
      <c r="P201" s="71">
        <v>2.5571796000000001E-2</v>
      </c>
      <c r="Q201" s="71">
        <v>2.6011669000000001E-2</v>
      </c>
      <c r="R201" s="71">
        <v>2.6444186000000001E-2</v>
      </c>
      <c r="S201" s="71">
        <v>2.5842771E-2</v>
      </c>
      <c r="T201" s="71">
        <v>2.7556586000000001E-2</v>
      </c>
      <c r="U201" s="71">
        <v>2.9777975000000002E-2</v>
      </c>
      <c r="V201" s="71">
        <v>3.1614964000000002E-2</v>
      </c>
      <c r="W201" s="71">
        <v>3.2360594999999999E-2</v>
      </c>
      <c r="X201" s="71">
        <v>3.2766970999999999E-2</v>
      </c>
      <c r="Y201" s="71">
        <v>3.2903690999999999E-2</v>
      </c>
      <c r="Z201" s="71">
        <v>2.5669718000000001E-2</v>
      </c>
      <c r="AA201" s="71">
        <v>2.4837611999999998E-2</v>
      </c>
      <c r="AB201" s="71">
        <v>2.4556779000000001E-2</v>
      </c>
      <c r="AC201" s="71">
        <v>2.487087E-2</v>
      </c>
      <c r="AD201" s="71">
        <v>2.5472917000000001E-2</v>
      </c>
      <c r="AE201" s="71">
        <v>2.6102314000000001E-2</v>
      </c>
      <c r="AF201" s="71">
        <v>2.6514803999999999E-2</v>
      </c>
      <c r="AG201" s="71">
        <v>2.5840835999999999E-2</v>
      </c>
      <c r="AH201" s="71">
        <v>2.7556151000000001E-2</v>
      </c>
      <c r="AI201" s="71">
        <v>2.9730014999999999E-2</v>
      </c>
      <c r="AJ201" s="71">
        <v>3.1708435E-2</v>
      </c>
      <c r="AK201" s="71">
        <v>3.2460137999999999E-2</v>
      </c>
      <c r="AL201" s="71">
        <v>3.2675733999999998E-2</v>
      </c>
      <c r="AM201" s="71">
        <v>3.2832643000000002E-2</v>
      </c>
      <c r="AN201" s="71">
        <v>0</v>
      </c>
      <c r="AO201" s="71">
        <v>0</v>
      </c>
      <c r="AP201" s="71">
        <v>0</v>
      </c>
    </row>
    <row r="202" spans="1:42" x14ac:dyDescent="0.2">
      <c r="A202" t="s">
        <v>214</v>
      </c>
      <c r="B202" t="s">
        <v>112</v>
      </c>
      <c r="C202" t="s">
        <v>219</v>
      </c>
      <c r="D202" t="s">
        <v>218</v>
      </c>
      <c r="E202" s="71">
        <v>2.5971055E-2</v>
      </c>
      <c r="F202" s="71">
        <v>2.6240825999999998E-2</v>
      </c>
      <c r="G202" s="71">
        <v>2.6927710000000001E-2</v>
      </c>
      <c r="H202" s="71">
        <v>2.7986049999999998E-2</v>
      </c>
      <c r="I202" s="71">
        <v>2.8770924E-2</v>
      </c>
      <c r="J202" s="71">
        <v>2.9335976E-2</v>
      </c>
      <c r="K202" s="71">
        <v>2.9748797E-2</v>
      </c>
      <c r="L202" s="71">
        <v>2.5883628999999998E-2</v>
      </c>
      <c r="M202" s="71">
        <v>2.4677910000000001E-2</v>
      </c>
      <c r="N202" s="71">
        <v>2.3528308000000001E-2</v>
      </c>
      <c r="O202" s="71">
        <v>2.3017165999999999E-2</v>
      </c>
      <c r="P202" s="71">
        <v>2.3185477999999999E-2</v>
      </c>
      <c r="Q202" s="71">
        <v>2.3588370000000001E-2</v>
      </c>
      <c r="R202" s="71">
        <v>2.3970571E-2</v>
      </c>
      <c r="S202" s="71">
        <v>2.6058431E-2</v>
      </c>
      <c r="T202" s="71">
        <v>2.7806124000000002E-2</v>
      </c>
      <c r="U202" s="71">
        <v>3.0338473000000001E-2</v>
      </c>
      <c r="V202" s="71">
        <v>3.2979195000000003E-2</v>
      </c>
      <c r="W202" s="71">
        <v>3.4386773000000002E-2</v>
      </c>
      <c r="X202" s="71">
        <v>3.5115813000000003E-2</v>
      </c>
      <c r="Y202" s="71">
        <v>3.5559710000000001E-2</v>
      </c>
      <c r="Z202" s="71">
        <v>2.5886309E-2</v>
      </c>
      <c r="AA202" s="71">
        <v>2.4690615999999999E-2</v>
      </c>
      <c r="AB202" s="71">
        <v>2.3537018E-2</v>
      </c>
      <c r="AC202" s="71">
        <v>2.3020273000000001E-2</v>
      </c>
      <c r="AD202" s="71">
        <v>2.3361475999999999E-2</v>
      </c>
      <c r="AE202" s="71">
        <v>2.3607091E-2</v>
      </c>
      <c r="AF202" s="71">
        <v>2.3973667000000001E-2</v>
      </c>
      <c r="AG202" s="71">
        <v>2.6055749999999999E-2</v>
      </c>
      <c r="AH202" s="71">
        <v>2.7793379E-2</v>
      </c>
      <c r="AI202" s="71">
        <v>3.0329709999999999E-2</v>
      </c>
      <c r="AJ202" s="71">
        <v>3.2976054999999997E-2</v>
      </c>
      <c r="AK202" s="71">
        <v>3.4208882000000003E-2</v>
      </c>
      <c r="AL202" s="71">
        <v>3.5096876999999999E-2</v>
      </c>
      <c r="AM202" s="71">
        <v>3.5556585000000002E-2</v>
      </c>
      <c r="AN202" s="71">
        <v>0</v>
      </c>
      <c r="AO202" s="71">
        <v>0</v>
      </c>
      <c r="AP202" s="71">
        <v>0</v>
      </c>
    </row>
    <row r="203" spans="1:42" x14ac:dyDescent="0.2">
      <c r="A203" t="s">
        <v>345</v>
      </c>
      <c r="B203" t="s">
        <v>112</v>
      </c>
      <c r="C203" t="s">
        <v>348</v>
      </c>
      <c r="D203" t="s">
        <v>349</v>
      </c>
      <c r="E203" s="71">
        <v>5.3698778000000003E-2</v>
      </c>
      <c r="F203" s="71">
        <v>5.3759335999999998E-2</v>
      </c>
      <c r="G203" s="71">
        <v>5.3830266000000002E-2</v>
      </c>
      <c r="H203" s="71">
        <v>5.3886771E-2</v>
      </c>
      <c r="I203" s="71">
        <v>5.3915142999999999E-2</v>
      </c>
      <c r="J203" s="71">
        <v>5.3932070999999998E-2</v>
      </c>
      <c r="K203" s="71">
        <v>5.3943395999999998E-2</v>
      </c>
      <c r="L203" s="71">
        <v>5.3607522999999997E-2</v>
      </c>
      <c r="M203" s="71">
        <v>5.3017218999999997E-2</v>
      </c>
      <c r="N203" s="71">
        <v>5.2845715000000001E-2</v>
      </c>
      <c r="O203" s="71">
        <v>5.2867676000000002E-2</v>
      </c>
      <c r="P203" s="71">
        <v>5.2969858000000002E-2</v>
      </c>
      <c r="Q203" s="71">
        <v>5.3036013E-2</v>
      </c>
      <c r="R203" s="71">
        <v>5.3100165999999997E-2</v>
      </c>
      <c r="S203" s="71">
        <v>5.3789983E-2</v>
      </c>
      <c r="T203" s="71">
        <v>5.4502029E-2</v>
      </c>
      <c r="U203" s="71">
        <v>5.4815636000000001E-2</v>
      </c>
      <c r="V203" s="71">
        <v>5.4906893999999998E-2</v>
      </c>
      <c r="W203" s="71">
        <v>5.4861159E-2</v>
      </c>
      <c r="X203" s="71">
        <v>5.4828898000000001E-2</v>
      </c>
      <c r="Y203" s="71">
        <v>5.4787286999999997E-2</v>
      </c>
      <c r="Z203" s="71">
        <v>5.3611277999999998E-2</v>
      </c>
      <c r="AA203" s="71">
        <v>5.3027949999999997E-2</v>
      </c>
      <c r="AB203" s="71">
        <v>5.2810682999999997E-2</v>
      </c>
      <c r="AC203" s="71">
        <v>5.2828619E-2</v>
      </c>
      <c r="AD203" s="71">
        <v>5.2941086999999998E-2</v>
      </c>
      <c r="AE203" s="71">
        <v>5.3016879000000003E-2</v>
      </c>
      <c r="AF203" s="71">
        <v>5.3113520999999997E-2</v>
      </c>
      <c r="AG203" s="71">
        <v>5.3786230999999997E-2</v>
      </c>
      <c r="AH203" s="71">
        <v>5.4491273999999999E-2</v>
      </c>
      <c r="AI203" s="71">
        <v>5.4850736999999997E-2</v>
      </c>
      <c r="AJ203" s="71">
        <v>5.4946026000000002E-2</v>
      </c>
      <c r="AK203" s="71">
        <v>5.4889998000000002E-2</v>
      </c>
      <c r="AL203" s="71">
        <v>5.4848063000000002E-2</v>
      </c>
      <c r="AM203" s="71">
        <v>5.4773921000000003E-2</v>
      </c>
      <c r="AN203" s="71">
        <v>0</v>
      </c>
      <c r="AO203" s="71">
        <v>0</v>
      </c>
      <c r="AP203" s="71">
        <v>0</v>
      </c>
    </row>
    <row r="204" spans="1:42" x14ac:dyDescent="0.2">
      <c r="A204" t="s">
        <v>191</v>
      </c>
      <c r="B204" t="s">
        <v>112</v>
      </c>
      <c r="C204" t="s">
        <v>197</v>
      </c>
      <c r="D204" t="s">
        <v>196</v>
      </c>
      <c r="E204" s="71">
        <v>7.2513818999999993E-2</v>
      </c>
      <c r="F204" s="71">
        <v>7.1447730000000001E-2</v>
      </c>
      <c r="G204" s="71">
        <v>6.9154858999999999E-2</v>
      </c>
      <c r="H204" s="71">
        <v>6.6365837999999996E-2</v>
      </c>
      <c r="I204" s="71">
        <v>6.4711452000000003E-2</v>
      </c>
      <c r="J204" s="71">
        <v>6.3676119000000003E-2</v>
      </c>
      <c r="K204" s="71">
        <v>6.2978624999999996E-2</v>
      </c>
      <c r="L204" s="71">
        <v>7.2422018000000005E-2</v>
      </c>
      <c r="M204" s="71">
        <v>6.9982508999999998E-2</v>
      </c>
      <c r="N204" s="71">
        <v>6.6168329999999997E-2</v>
      </c>
      <c r="O204" s="71">
        <v>6.2699453000000002E-2</v>
      </c>
      <c r="P204" s="71">
        <v>6.0922912000000003E-2</v>
      </c>
      <c r="Q204" s="71">
        <v>6.0016519999999997E-2</v>
      </c>
      <c r="R204" s="71">
        <v>5.9487412000000003E-2</v>
      </c>
      <c r="S204" s="71">
        <v>7.2605842000000004E-2</v>
      </c>
      <c r="T204" s="71">
        <v>7.2914853000000002E-2</v>
      </c>
      <c r="U204" s="71">
        <v>7.2149764000000005E-2</v>
      </c>
      <c r="V204" s="71">
        <v>7.0045061000000006E-2</v>
      </c>
      <c r="W204" s="71">
        <v>6.8513705999999994E-2</v>
      </c>
      <c r="X204" s="71">
        <v>6.7348313000000007E-2</v>
      </c>
      <c r="Y204" s="71">
        <v>6.6481367E-2</v>
      </c>
      <c r="Z204" s="71">
        <v>7.2424598000000007E-2</v>
      </c>
      <c r="AA204" s="71">
        <v>6.9925825999999996E-2</v>
      </c>
      <c r="AB204" s="71">
        <v>6.6202984000000006E-2</v>
      </c>
      <c r="AC204" s="71">
        <v>6.2852025000000006E-2</v>
      </c>
      <c r="AD204" s="71">
        <v>6.1158586000000001E-2</v>
      </c>
      <c r="AE204" s="71">
        <v>6.0212251000000001E-2</v>
      </c>
      <c r="AF204" s="71">
        <v>5.9654774000000001E-2</v>
      </c>
      <c r="AG204" s="71">
        <v>7.2603254000000006E-2</v>
      </c>
      <c r="AH204" s="71">
        <v>7.2971699000000001E-2</v>
      </c>
      <c r="AI204" s="71">
        <v>7.2114912000000003E-2</v>
      </c>
      <c r="AJ204" s="71">
        <v>6.9891441999999998E-2</v>
      </c>
      <c r="AK204" s="71">
        <v>6.8276413999999994E-2</v>
      </c>
      <c r="AL204" s="71">
        <v>6.7151257000000006E-2</v>
      </c>
      <c r="AM204" s="71">
        <v>6.6312943999999999E-2</v>
      </c>
      <c r="AN204" s="71">
        <v>0</v>
      </c>
      <c r="AO204" s="71">
        <v>0</v>
      </c>
      <c r="AP204" s="71">
        <v>0</v>
      </c>
    </row>
    <row r="205" spans="1:42" x14ac:dyDescent="0.2">
      <c r="A205" t="s">
        <v>178</v>
      </c>
      <c r="B205" t="s">
        <v>112</v>
      </c>
      <c r="C205" t="s">
        <v>186</v>
      </c>
      <c r="D205" t="s">
        <v>185</v>
      </c>
      <c r="E205" s="71">
        <v>3.2697320000000002E-2</v>
      </c>
      <c r="F205" s="71">
        <v>3.3268212999999998E-2</v>
      </c>
      <c r="G205" s="71">
        <v>3.4329534000000002E-2</v>
      </c>
      <c r="H205" s="71">
        <v>3.5428524000000003E-2</v>
      </c>
      <c r="I205" s="71">
        <v>3.6016940999999997E-2</v>
      </c>
      <c r="J205" s="71">
        <v>3.6373018999999999E-2</v>
      </c>
      <c r="K205" s="71">
        <v>3.6610722999999998E-2</v>
      </c>
      <c r="L205" s="71">
        <v>3.2605781E-2</v>
      </c>
      <c r="M205" s="71">
        <v>3.1454142999999997E-2</v>
      </c>
      <c r="N205" s="71">
        <v>3.1043371E-2</v>
      </c>
      <c r="O205" s="71">
        <v>3.1628881999999997E-2</v>
      </c>
      <c r="P205" s="71">
        <v>3.2241460999999999E-2</v>
      </c>
      <c r="Q205" s="71">
        <v>3.2764052000000002E-2</v>
      </c>
      <c r="R205" s="71">
        <v>3.3177461999999998E-2</v>
      </c>
      <c r="S205" s="71">
        <v>3.2788807000000003E-2</v>
      </c>
      <c r="T205" s="71">
        <v>3.5085644999999999E-2</v>
      </c>
      <c r="U205" s="71">
        <v>3.7626250999999999E-2</v>
      </c>
      <c r="V205" s="71">
        <v>3.9242092999999999E-2</v>
      </c>
      <c r="W205" s="71">
        <v>3.9806192999999997E-2</v>
      </c>
      <c r="X205" s="71">
        <v>3.9994562999999997E-2</v>
      </c>
      <c r="Y205" s="71">
        <v>4.0055301000000001E-2</v>
      </c>
      <c r="Z205" s="71">
        <v>3.2608127000000001E-2</v>
      </c>
      <c r="AA205" s="71">
        <v>3.1409843999999999E-2</v>
      </c>
      <c r="AB205" s="71">
        <v>3.0902461999999999E-2</v>
      </c>
      <c r="AC205" s="71">
        <v>3.1643731000000001E-2</v>
      </c>
      <c r="AD205" s="71">
        <v>3.2084011000000003E-2</v>
      </c>
      <c r="AE205" s="71">
        <v>3.2646791000000001E-2</v>
      </c>
      <c r="AF205" s="71">
        <v>3.3081886999999997E-2</v>
      </c>
      <c r="AG205" s="71">
        <v>3.2786457999999997E-2</v>
      </c>
      <c r="AH205" s="71">
        <v>3.5130100999999997E-2</v>
      </c>
      <c r="AI205" s="71">
        <v>3.7768079000000003E-2</v>
      </c>
      <c r="AJ205" s="71">
        <v>3.9227136000000003E-2</v>
      </c>
      <c r="AK205" s="71">
        <v>3.9964827000000001E-2</v>
      </c>
      <c r="AL205" s="71">
        <v>4.0112662E-2</v>
      </c>
      <c r="AM205" s="71">
        <v>4.0151522000000002E-2</v>
      </c>
      <c r="AN205" s="71">
        <v>0</v>
      </c>
      <c r="AO205" s="71">
        <v>0</v>
      </c>
      <c r="AP205" s="71">
        <v>0</v>
      </c>
    </row>
    <row r="206" spans="1:42" x14ac:dyDescent="0.2">
      <c r="A206" t="s">
        <v>200</v>
      </c>
      <c r="B206" t="s">
        <v>112</v>
      </c>
      <c r="C206" t="s">
        <v>207</v>
      </c>
      <c r="D206" t="s">
        <v>206</v>
      </c>
      <c r="E206" s="71">
        <v>1.7839909000000001E-2</v>
      </c>
      <c r="F206" s="71">
        <v>1.7802119000000002E-2</v>
      </c>
      <c r="G206" s="71">
        <v>1.7529487999999999E-2</v>
      </c>
      <c r="H206" s="71">
        <v>1.6893743999999999E-2</v>
      </c>
      <c r="I206" s="71">
        <v>1.6357422E-2</v>
      </c>
      <c r="J206" s="71">
        <v>1.5966177000000002E-2</v>
      </c>
      <c r="K206" s="71">
        <v>1.5683888999999999E-2</v>
      </c>
      <c r="L206" s="71">
        <v>1.1764794E-2</v>
      </c>
      <c r="M206" s="71">
        <v>1.1625086999999999E-2</v>
      </c>
      <c r="N206" s="71">
        <v>1.0112034000000001E-2</v>
      </c>
      <c r="O206" s="71">
        <v>8.4237719999999995E-3</v>
      </c>
      <c r="P206" s="71">
        <v>7.7315869999999998E-3</v>
      </c>
      <c r="Q206" s="71">
        <v>7.3816280000000003E-3</v>
      </c>
      <c r="R206" s="71">
        <v>7.5092049999999997E-3</v>
      </c>
      <c r="S206" s="71">
        <v>2.3948434000000001E-2</v>
      </c>
      <c r="T206" s="71">
        <v>2.3911324000000001E-2</v>
      </c>
      <c r="U206" s="71">
        <v>2.4944025000000002E-2</v>
      </c>
      <c r="V206" s="71">
        <v>2.5293675000000002E-2</v>
      </c>
      <c r="W206" s="71">
        <v>2.4941965E-2</v>
      </c>
      <c r="X206" s="71">
        <v>2.4593475E-2</v>
      </c>
      <c r="Y206" s="71">
        <v>2.3949504E-2</v>
      </c>
      <c r="Z206" s="71">
        <v>1.3977477E-2</v>
      </c>
      <c r="AA206" s="71">
        <v>1.2991236E-2</v>
      </c>
      <c r="AB206" s="71">
        <v>1.0868744E-2</v>
      </c>
      <c r="AC206" s="71">
        <v>8.4856940000000002E-3</v>
      </c>
      <c r="AD206" s="71">
        <v>7.6908549999999999E-3</v>
      </c>
      <c r="AE206" s="71">
        <v>7.7777849999999997E-3</v>
      </c>
      <c r="AF206" s="71">
        <v>7.8610850000000003E-3</v>
      </c>
      <c r="AG206" s="71">
        <v>2.1724220999999998E-2</v>
      </c>
      <c r="AH206" s="71">
        <v>2.2642589000000001E-2</v>
      </c>
      <c r="AI206" s="71">
        <v>2.4240159000000001E-2</v>
      </c>
      <c r="AJ206" s="71">
        <v>2.5376250999999999E-2</v>
      </c>
      <c r="AK206" s="71">
        <v>2.5101907999999999E-2</v>
      </c>
      <c r="AL206" s="71">
        <v>2.4223794999999999E-2</v>
      </c>
      <c r="AM206" s="71">
        <v>2.3569799999999998E-2</v>
      </c>
      <c r="AN206" s="71">
        <v>1.5112327E-2</v>
      </c>
      <c r="AO206" s="71">
        <v>0.17229576199999999</v>
      </c>
      <c r="AP206" s="71">
        <v>0.24510554900000001</v>
      </c>
    </row>
    <row r="207" spans="1:42" x14ac:dyDescent="0.2">
      <c r="A207" t="s">
        <v>254</v>
      </c>
      <c r="B207" t="s">
        <v>112</v>
      </c>
      <c r="C207" t="s">
        <v>258</v>
      </c>
      <c r="D207" t="s">
        <v>257</v>
      </c>
      <c r="E207" s="71">
        <v>1.7076969000000001E-2</v>
      </c>
      <c r="F207" s="71">
        <v>1.8936753000000001E-2</v>
      </c>
      <c r="G207" s="71">
        <v>2.3127198000000002E-2</v>
      </c>
      <c r="H207" s="71">
        <v>2.8547645E-2</v>
      </c>
      <c r="I207" s="71">
        <v>3.1931399999999999E-2</v>
      </c>
      <c r="J207" s="71">
        <v>3.4104704999999999E-2</v>
      </c>
      <c r="K207" s="71">
        <v>3.558588E-2</v>
      </c>
      <c r="L207" s="71">
        <v>1.6990816999999998E-2</v>
      </c>
      <c r="M207" s="71">
        <v>1.7266552000000001E-2</v>
      </c>
      <c r="N207" s="71">
        <v>1.9816127999999999E-2</v>
      </c>
      <c r="O207" s="71">
        <v>2.4105562000000001E-2</v>
      </c>
      <c r="P207" s="71">
        <v>2.7347923999999999E-2</v>
      </c>
      <c r="Q207" s="71">
        <v>2.9594921E-2</v>
      </c>
      <c r="R207" s="71">
        <v>3.1299100000000003E-2</v>
      </c>
      <c r="S207" s="71">
        <v>1.7163304000000001E-2</v>
      </c>
      <c r="T207" s="71">
        <v>2.0609645999999999E-2</v>
      </c>
      <c r="U207" s="71">
        <v>2.6449002999999999E-2</v>
      </c>
      <c r="V207" s="71">
        <v>3.3008895000000003E-2</v>
      </c>
      <c r="W207" s="71">
        <v>3.6535274999999999E-2</v>
      </c>
      <c r="X207" s="71">
        <v>3.8634191999999998E-2</v>
      </c>
      <c r="Y207" s="71">
        <v>3.9890443999999997E-2</v>
      </c>
      <c r="Z207" s="71">
        <v>1.6986296000000001E-2</v>
      </c>
      <c r="AA207" s="71">
        <v>1.7238799999999999E-2</v>
      </c>
      <c r="AB207" s="71">
        <v>1.9584843000000001E-2</v>
      </c>
      <c r="AC207" s="71">
        <v>2.3991142E-2</v>
      </c>
      <c r="AD207" s="71">
        <v>2.6981438E-2</v>
      </c>
      <c r="AE207" s="71">
        <v>2.9229314999999999E-2</v>
      </c>
      <c r="AF207" s="71">
        <v>3.0961519999999999E-2</v>
      </c>
      <c r="AG207" s="71">
        <v>1.7167824000000002E-2</v>
      </c>
      <c r="AH207" s="71">
        <v>2.0637488999999998E-2</v>
      </c>
      <c r="AI207" s="71">
        <v>2.6681844999999999E-2</v>
      </c>
      <c r="AJ207" s="71">
        <v>3.3124318E-2</v>
      </c>
      <c r="AK207" s="71">
        <v>3.6905171000000001E-2</v>
      </c>
      <c r="AL207" s="71">
        <v>3.9003137E-2</v>
      </c>
      <c r="AM207" s="71">
        <v>4.0230943999999998E-2</v>
      </c>
      <c r="AN207" s="71">
        <v>0</v>
      </c>
      <c r="AO207" s="71">
        <v>0</v>
      </c>
      <c r="AP207" s="71">
        <v>0</v>
      </c>
    </row>
    <row r="208" spans="1:42" x14ac:dyDescent="0.2">
      <c r="A208" t="s">
        <v>103</v>
      </c>
      <c r="B208" t="s">
        <v>112</v>
      </c>
      <c r="C208" t="s">
        <v>114</v>
      </c>
      <c r="D208" t="s">
        <v>113</v>
      </c>
      <c r="E208" s="71">
        <v>7.5580955000000005E-2</v>
      </c>
      <c r="F208" s="71">
        <v>7.4650525999999995E-2</v>
      </c>
      <c r="G208" s="71">
        <v>7.2586059999999994E-2</v>
      </c>
      <c r="H208" s="71">
        <v>6.9972873000000005E-2</v>
      </c>
      <c r="I208" s="71">
        <v>6.8372130000000003E-2</v>
      </c>
      <c r="J208" s="71">
        <v>6.7354559999999994E-2</v>
      </c>
      <c r="K208" s="71">
        <v>6.6664815000000002E-2</v>
      </c>
      <c r="L208" s="71">
        <v>7.5488108999999998E-2</v>
      </c>
      <c r="M208" s="71">
        <v>7.28293E-2</v>
      </c>
      <c r="N208" s="71">
        <v>6.8968581000000001E-2</v>
      </c>
      <c r="O208" s="71">
        <v>6.5298909000000002E-2</v>
      </c>
      <c r="P208" s="71">
        <v>6.3540004999999997E-2</v>
      </c>
      <c r="Q208" s="71">
        <v>6.2684077000000005E-2</v>
      </c>
      <c r="R208" s="71">
        <v>6.2084106E-2</v>
      </c>
      <c r="S208" s="71">
        <v>7.5673816000000005E-2</v>
      </c>
      <c r="T208" s="71">
        <v>7.6474691999999997E-2</v>
      </c>
      <c r="U208" s="71">
        <v>7.6215801999999999E-2</v>
      </c>
      <c r="V208" s="71">
        <v>7.4667454999999994E-2</v>
      </c>
      <c r="W208" s="71">
        <v>7.3226035999999994E-2</v>
      </c>
      <c r="X208" s="71">
        <v>7.2045479999999995E-2</v>
      </c>
      <c r="Y208" s="71">
        <v>7.1265305000000001E-2</v>
      </c>
      <c r="Z208" s="71">
        <v>7.5491792000000002E-2</v>
      </c>
      <c r="AA208" s="71">
        <v>7.2874432000000003E-2</v>
      </c>
      <c r="AB208" s="71">
        <v>6.8793445999999994E-2</v>
      </c>
      <c r="AC208" s="71">
        <v>6.5043305999999995E-2</v>
      </c>
      <c r="AD208" s="71">
        <v>6.3197044999999993E-2</v>
      </c>
      <c r="AE208" s="71">
        <v>6.2521702999999998E-2</v>
      </c>
      <c r="AF208" s="71">
        <v>6.1983385000000002E-2</v>
      </c>
      <c r="AG208" s="71">
        <v>7.5670132000000001E-2</v>
      </c>
      <c r="AH208" s="71">
        <v>7.6429400999999994E-2</v>
      </c>
      <c r="AI208" s="71">
        <v>7.6392167999999996E-2</v>
      </c>
      <c r="AJ208" s="71">
        <v>7.492538E-2</v>
      </c>
      <c r="AK208" s="71">
        <v>7.3572233000000001E-2</v>
      </c>
      <c r="AL208" s="71">
        <v>7.2209310999999998E-2</v>
      </c>
      <c r="AM208" s="71">
        <v>7.1366909000000006E-2</v>
      </c>
      <c r="AN208" s="71">
        <v>0</v>
      </c>
      <c r="AO208" s="71">
        <v>0</v>
      </c>
      <c r="AP208" s="71">
        <v>0</v>
      </c>
    </row>
    <row r="209" spans="1:42" x14ac:dyDescent="0.2">
      <c r="A209" t="s">
        <v>200</v>
      </c>
      <c r="B209" t="s">
        <v>112</v>
      </c>
      <c r="C209" t="s">
        <v>354</v>
      </c>
      <c r="D209" t="s">
        <v>205</v>
      </c>
      <c r="E209" s="71">
        <v>4.8459888E-2</v>
      </c>
      <c r="F209" s="71">
        <v>4.6575308000000003E-2</v>
      </c>
      <c r="G209" s="71">
        <v>4.1867255999999999E-2</v>
      </c>
      <c r="H209" s="71">
        <v>3.4980416E-2</v>
      </c>
      <c r="I209" s="71">
        <v>3.0222058E-2</v>
      </c>
      <c r="J209" s="71">
        <v>2.6989817999999999E-2</v>
      </c>
      <c r="K209" s="71">
        <v>2.4724482999999998E-2</v>
      </c>
      <c r="L209" s="71">
        <v>2.0820829999999999E-2</v>
      </c>
      <c r="M209" s="71">
        <v>1.9700023000000001E-2</v>
      </c>
      <c r="N209" s="71">
        <v>1.3391988000000001E-2</v>
      </c>
      <c r="O209" s="71">
        <v>4.5406780000000002E-3</v>
      </c>
      <c r="P209" s="71">
        <v>1.2628499999999999E-4</v>
      </c>
      <c r="Q209" s="71">
        <v>-2.162649E-3</v>
      </c>
      <c r="R209" s="71">
        <v>-3.0611589999999999E-3</v>
      </c>
      <c r="S209" s="71">
        <v>7.6832762999999998E-2</v>
      </c>
      <c r="T209" s="71">
        <v>7.3726362000000004E-2</v>
      </c>
      <c r="U209" s="71">
        <v>7.0752850000000006E-2</v>
      </c>
      <c r="V209" s="71">
        <v>6.6482074000000002E-2</v>
      </c>
      <c r="W209" s="71">
        <v>6.1042596999999997E-2</v>
      </c>
      <c r="X209" s="71">
        <v>5.6683796000000002E-2</v>
      </c>
      <c r="Y209" s="71">
        <v>5.2921867999999997E-2</v>
      </c>
      <c r="Z209" s="71">
        <v>2.7501010999999999E-2</v>
      </c>
      <c r="AA209" s="71">
        <v>2.4644042000000001E-2</v>
      </c>
      <c r="AB209" s="71">
        <v>1.4920078999999999E-2</v>
      </c>
      <c r="AC209" s="71">
        <v>5.662734E-3</v>
      </c>
      <c r="AD209" s="71">
        <v>5.6727999999999998E-4</v>
      </c>
      <c r="AE209" s="71">
        <v>-1.3934170000000001E-3</v>
      </c>
      <c r="AF209" s="71">
        <v>-2.7648479999999999E-3</v>
      </c>
      <c r="AG209" s="71">
        <v>6.9892386000000001E-2</v>
      </c>
      <c r="AH209" s="71">
        <v>6.9019252000000003E-2</v>
      </c>
      <c r="AI209" s="71">
        <v>6.9567017999999994E-2</v>
      </c>
      <c r="AJ209" s="71">
        <v>6.5180634000000001E-2</v>
      </c>
      <c r="AK209" s="71">
        <v>6.077743E-2</v>
      </c>
      <c r="AL209" s="71">
        <v>5.6197459999999998E-2</v>
      </c>
      <c r="AM209" s="71">
        <v>5.2986311000000001E-2</v>
      </c>
      <c r="AN209" s="71">
        <v>5.5378759999999999E-2</v>
      </c>
      <c r="AO209" s="71">
        <v>0.44485687699999998</v>
      </c>
      <c r="AP209" s="71">
        <v>-7.0748475000000005E-2</v>
      </c>
    </row>
    <row r="210" spans="1:42" x14ac:dyDescent="0.2">
      <c r="A210" t="s">
        <v>259</v>
      </c>
      <c r="B210" t="s">
        <v>112</v>
      </c>
      <c r="C210" t="s">
        <v>337</v>
      </c>
      <c r="D210" t="s">
        <v>263</v>
      </c>
      <c r="E210" s="71">
        <v>-1.0434209999999999E-2</v>
      </c>
      <c r="F210" s="71">
        <v>-7.7194569999999999E-3</v>
      </c>
      <c r="G210" s="71">
        <v>-1.373768E-3</v>
      </c>
      <c r="H210" s="71">
        <v>7.2996620000000002E-3</v>
      </c>
      <c r="I210" s="71">
        <v>1.3022542E-2</v>
      </c>
      <c r="J210" s="71">
        <v>1.6831398000000001E-2</v>
      </c>
      <c r="K210" s="71">
        <v>1.9480227999999999E-2</v>
      </c>
      <c r="L210" s="71">
        <v>-6.2900336000000001E-2</v>
      </c>
      <c r="M210" s="71">
        <v>-5.7505594E-2</v>
      </c>
      <c r="N210" s="71">
        <v>-5.0970868000000003E-2</v>
      </c>
      <c r="O210" s="71">
        <v>-4.0590623999999999E-2</v>
      </c>
      <c r="P210" s="71">
        <v>-3.2801346000000002E-2</v>
      </c>
      <c r="Q210" s="71">
        <v>-2.6396605E-2</v>
      </c>
      <c r="R210" s="71">
        <v>-2.1156916000000001E-2</v>
      </c>
      <c r="S210" s="71">
        <v>4.4200475000000003E-2</v>
      </c>
      <c r="T210" s="71">
        <v>4.5000576E-2</v>
      </c>
      <c r="U210" s="71">
        <v>5.0609083999999999E-2</v>
      </c>
      <c r="V210" s="71">
        <v>5.7607696E-2</v>
      </c>
      <c r="W210" s="71">
        <v>6.1345457999999999E-2</v>
      </c>
      <c r="X210" s="71">
        <v>6.2089233000000001E-2</v>
      </c>
      <c r="Y210" s="71">
        <v>6.2114496999999998E-2</v>
      </c>
      <c r="Z210" s="71">
        <v>-5.5369487000000002E-2</v>
      </c>
      <c r="AA210" s="71">
        <v>-5.2745062000000002E-2</v>
      </c>
      <c r="AB210" s="71">
        <v>-4.6832173999999997E-2</v>
      </c>
      <c r="AC210" s="71">
        <v>-3.6656060999999997E-2</v>
      </c>
      <c r="AD210" s="71">
        <v>-2.7863428999999999E-2</v>
      </c>
      <c r="AE210" s="71">
        <v>-2.1826660000000001E-2</v>
      </c>
      <c r="AF210" s="71">
        <v>-1.8224467000000001E-2</v>
      </c>
      <c r="AG210" s="71">
        <v>3.7169840000000003E-2</v>
      </c>
      <c r="AH210" s="71">
        <v>3.9948747E-2</v>
      </c>
      <c r="AI210" s="71">
        <v>4.6684273999999998E-2</v>
      </c>
      <c r="AJ210" s="71">
        <v>5.3589998999999999E-2</v>
      </c>
      <c r="AK210" s="71">
        <v>5.5885894999999998E-2</v>
      </c>
      <c r="AL210" s="71">
        <v>5.7226802E-2</v>
      </c>
      <c r="AM210" s="71">
        <v>5.8808653000000002E-2</v>
      </c>
      <c r="AN210" s="71">
        <v>9.5998176000000005E-2</v>
      </c>
      <c r="AO210" s="71">
        <v>0.70800440200000003</v>
      </c>
      <c r="AP210" s="71">
        <v>-5.3933430999999997E-2</v>
      </c>
    </row>
    <row r="211" spans="1:42" x14ac:dyDescent="0.2">
      <c r="A211" t="s">
        <v>259</v>
      </c>
      <c r="B211" t="s">
        <v>112</v>
      </c>
      <c r="C211" t="s">
        <v>338</v>
      </c>
      <c r="D211" t="s">
        <v>262</v>
      </c>
      <c r="E211" s="71">
        <v>-6.060541E-3</v>
      </c>
      <c r="F211" s="71">
        <v>-3.8607120000000001E-3</v>
      </c>
      <c r="G211" s="71">
        <v>1.233935E-3</v>
      </c>
      <c r="H211" s="71">
        <v>8.1104039999999999E-3</v>
      </c>
      <c r="I211" s="71">
        <v>1.2596606999999999E-2</v>
      </c>
      <c r="J211" s="71">
        <v>1.5562892E-2</v>
      </c>
      <c r="K211" s="71">
        <v>1.7618418E-2</v>
      </c>
      <c r="L211" s="71">
        <v>-3.8162557E-2</v>
      </c>
      <c r="M211" s="71">
        <v>-3.4309265999999998E-2</v>
      </c>
      <c r="N211" s="71">
        <v>-2.9130488E-2</v>
      </c>
      <c r="O211" s="71">
        <v>-2.1538486999999999E-2</v>
      </c>
      <c r="P211" s="71">
        <v>-1.5880139000000001E-2</v>
      </c>
      <c r="Q211" s="71">
        <v>-1.1534010000000001E-2</v>
      </c>
      <c r="R211" s="71">
        <v>-8.3812339999999996E-3</v>
      </c>
      <c r="S211" s="71">
        <v>2.6439082999999999E-2</v>
      </c>
      <c r="T211" s="71">
        <v>2.7557083999999999E-2</v>
      </c>
      <c r="U211" s="71">
        <v>3.2694492999999998E-2</v>
      </c>
      <c r="V211" s="71">
        <v>3.8948530000000002E-2</v>
      </c>
      <c r="W211" s="71">
        <v>4.2255650999999998E-2</v>
      </c>
      <c r="X211" s="71">
        <v>4.3586927999999997E-2</v>
      </c>
      <c r="Y211" s="71">
        <v>4.4327656999999999E-2</v>
      </c>
      <c r="Z211" s="71">
        <v>-3.2024439000000002E-2</v>
      </c>
      <c r="AA211" s="71">
        <v>-3.0377351E-2</v>
      </c>
      <c r="AB211" s="71">
        <v>-2.5862968E-2</v>
      </c>
      <c r="AC211" s="71">
        <v>-1.8438643000000001E-2</v>
      </c>
      <c r="AD211" s="71">
        <v>-1.2774264E-2</v>
      </c>
      <c r="AE211" s="71">
        <v>-9.7459599999999997E-3</v>
      </c>
      <c r="AF211" s="71">
        <v>-5.6640950000000001E-3</v>
      </c>
      <c r="AG211" s="71">
        <v>2.0882115999999999E-2</v>
      </c>
      <c r="AH211" s="71">
        <v>2.3647893999999999E-2</v>
      </c>
      <c r="AI211" s="71">
        <v>2.9313868999999999E-2</v>
      </c>
      <c r="AJ211" s="71">
        <v>3.5552131000000001E-2</v>
      </c>
      <c r="AK211" s="71">
        <v>3.8756462999999998E-2</v>
      </c>
      <c r="AL211" s="71">
        <v>4.1630047000000003E-2</v>
      </c>
      <c r="AM211" s="71">
        <v>4.1539495000000003E-2</v>
      </c>
      <c r="AN211" s="71">
        <v>6.3326408000000001E-2</v>
      </c>
      <c r="AO211" s="71">
        <v>0.73404557500000001</v>
      </c>
      <c r="AP211" s="71">
        <v>-7.0228633999999998E-2</v>
      </c>
    </row>
    <row r="212" spans="1:42" x14ac:dyDescent="0.2">
      <c r="A212" t="s">
        <v>178</v>
      </c>
      <c r="B212" t="s">
        <v>112</v>
      </c>
      <c r="C212" t="s">
        <v>182</v>
      </c>
      <c r="D212" t="s">
        <v>181</v>
      </c>
      <c r="E212" s="71">
        <v>5.8126329999999997E-2</v>
      </c>
      <c r="F212" s="71">
        <v>5.793798E-2</v>
      </c>
      <c r="G212" s="71">
        <v>5.7163714999999997E-2</v>
      </c>
      <c r="H212" s="71">
        <v>5.5653690999999998E-2</v>
      </c>
      <c r="I212" s="71">
        <v>5.4467558999999999E-2</v>
      </c>
      <c r="J212" s="71">
        <v>5.3624511E-2</v>
      </c>
      <c r="K212" s="71">
        <v>5.3022741999999998E-2</v>
      </c>
      <c r="L212" s="71">
        <v>2.4038060999999999E-2</v>
      </c>
      <c r="M212" s="71">
        <v>2.5236774E-2</v>
      </c>
      <c r="N212" s="71">
        <v>2.4653581000000001E-2</v>
      </c>
      <c r="O212" s="71">
        <v>2.1864168999999999E-2</v>
      </c>
      <c r="P212" s="71">
        <v>2.0872057999999999E-2</v>
      </c>
      <c r="Q212" s="71">
        <v>2.1212841999999999E-2</v>
      </c>
      <c r="R212" s="71">
        <v>2.2614581000000002E-2</v>
      </c>
      <c r="S212" s="71">
        <v>9.2738170999999994E-2</v>
      </c>
      <c r="T212" s="71">
        <v>9.0599595000000005E-2</v>
      </c>
      <c r="U212" s="71">
        <v>9.1046757000000006E-2</v>
      </c>
      <c r="V212" s="71">
        <v>9.0074257000000005E-2</v>
      </c>
      <c r="W212" s="71">
        <v>8.8842118999999997E-2</v>
      </c>
      <c r="X212" s="71">
        <v>8.7101656999999999E-2</v>
      </c>
      <c r="Y212" s="71">
        <v>8.4445266000000005E-2</v>
      </c>
      <c r="Z212" s="71">
        <v>3.1994106000000001E-2</v>
      </c>
      <c r="AA212" s="71">
        <v>3.1452991E-2</v>
      </c>
      <c r="AB212" s="71">
        <v>2.8762401E-2</v>
      </c>
      <c r="AC212" s="71">
        <v>2.5102237999999999E-2</v>
      </c>
      <c r="AD212" s="71">
        <v>2.2718123E-2</v>
      </c>
      <c r="AE212" s="71">
        <v>2.1474734999999998E-2</v>
      </c>
      <c r="AF212" s="71">
        <v>2.4679565000000001E-2</v>
      </c>
      <c r="AG212" s="71">
        <v>8.4920563000000004E-2</v>
      </c>
      <c r="AH212" s="71">
        <v>8.5103389000000002E-2</v>
      </c>
      <c r="AI212" s="71">
        <v>8.6349266999999993E-2</v>
      </c>
      <c r="AJ212" s="71">
        <v>8.7115831000000005E-2</v>
      </c>
      <c r="AK212" s="71">
        <v>8.7202859999999993E-2</v>
      </c>
      <c r="AL212" s="71">
        <v>8.6786293E-2</v>
      </c>
      <c r="AM212" s="71">
        <v>8.2150036999999995E-2</v>
      </c>
      <c r="AN212" s="71">
        <v>7.0232895000000004E-2</v>
      </c>
      <c r="AO212" s="71">
        <v>0.40078984600000001</v>
      </c>
      <c r="AP212" s="71">
        <v>0.179833676</v>
      </c>
    </row>
    <row r="213" spans="1:42" x14ac:dyDescent="0.2">
      <c r="A213" t="s">
        <v>178</v>
      </c>
      <c r="B213" t="s">
        <v>112</v>
      </c>
      <c r="C213" t="s">
        <v>180</v>
      </c>
      <c r="D213" t="s">
        <v>179</v>
      </c>
      <c r="E213" s="71">
        <v>4.6799897999999999E-2</v>
      </c>
      <c r="F213" s="71">
        <v>4.7216534999999997E-2</v>
      </c>
      <c r="G213" s="71">
        <v>4.7901511000000001E-2</v>
      </c>
      <c r="H213" s="71">
        <v>4.8461079999999997E-2</v>
      </c>
      <c r="I213" s="71">
        <v>4.8680662999999999E-2</v>
      </c>
      <c r="J213" s="71">
        <v>4.8786878999999998E-2</v>
      </c>
      <c r="K213" s="71">
        <v>4.8849463000000003E-2</v>
      </c>
      <c r="L213" s="71">
        <v>2.2649915999999999E-2</v>
      </c>
      <c r="M213" s="71">
        <v>2.4153678000000001E-2</v>
      </c>
      <c r="N213" s="71">
        <v>2.4008083E-2</v>
      </c>
      <c r="O213" s="71">
        <v>2.3461952000000001E-2</v>
      </c>
      <c r="P213" s="71">
        <v>2.3523051999999999E-2</v>
      </c>
      <c r="Q213" s="71">
        <v>2.4128791E-2</v>
      </c>
      <c r="R213" s="71">
        <v>2.5273423E-2</v>
      </c>
      <c r="S213" s="71">
        <v>7.1242930999999995E-2</v>
      </c>
      <c r="T213" s="71">
        <v>7.0977285000000001E-2</v>
      </c>
      <c r="U213" s="71">
        <v>7.2349633999999996E-2</v>
      </c>
      <c r="V213" s="71">
        <v>7.4030424999999997E-2</v>
      </c>
      <c r="W213" s="71">
        <v>7.4709525999999998E-2</v>
      </c>
      <c r="X213" s="71">
        <v>7.4025439999999998E-2</v>
      </c>
      <c r="Y213" s="71">
        <v>7.2983915999999996E-2</v>
      </c>
      <c r="Z213" s="71">
        <v>3.0749302999999999E-2</v>
      </c>
      <c r="AA213" s="71">
        <v>2.9515791999999999E-2</v>
      </c>
      <c r="AB213" s="71">
        <v>2.761916E-2</v>
      </c>
      <c r="AC213" s="71">
        <v>2.6539745999999999E-2</v>
      </c>
      <c r="AD213" s="71">
        <v>2.5900917999999998E-2</v>
      </c>
      <c r="AE213" s="71">
        <v>2.5036454E-2</v>
      </c>
      <c r="AF213" s="71">
        <v>2.6714689E-2</v>
      </c>
      <c r="AG213" s="71">
        <v>6.3100565999999997E-2</v>
      </c>
      <c r="AH213" s="71">
        <v>6.5221673999999993E-2</v>
      </c>
      <c r="AI213" s="71">
        <v>6.8584101999999994E-2</v>
      </c>
      <c r="AJ213" s="71">
        <v>7.0850506999999993E-2</v>
      </c>
      <c r="AK213" s="71">
        <v>7.1966299999999997E-2</v>
      </c>
      <c r="AL213" s="71">
        <v>7.3087686999999998E-2</v>
      </c>
      <c r="AM213" s="71">
        <v>7.1461410000000003E-2</v>
      </c>
      <c r="AN213" s="71">
        <v>5.7703075999999999E-2</v>
      </c>
      <c r="AO213" s="71">
        <v>0.72873602000000004</v>
      </c>
      <c r="AP213" s="71">
        <v>-3.1310275999999998E-2</v>
      </c>
    </row>
    <row r="214" spans="1:42" x14ac:dyDescent="0.2">
      <c r="A214" t="s">
        <v>214</v>
      </c>
      <c r="B214" t="s">
        <v>112</v>
      </c>
      <c r="C214" t="s">
        <v>217</v>
      </c>
      <c r="D214" t="s">
        <v>216</v>
      </c>
      <c r="E214" s="71">
        <v>2.4658917999999998E-2</v>
      </c>
      <c r="F214" s="71">
        <v>2.5153994999999998E-2</v>
      </c>
      <c r="G214" s="71">
        <v>2.6383877E-2</v>
      </c>
      <c r="H214" s="71">
        <v>2.8213143E-2</v>
      </c>
      <c r="I214" s="71">
        <v>2.9522896E-2</v>
      </c>
      <c r="J214" s="71">
        <v>3.0443192000000001E-2</v>
      </c>
      <c r="K214" s="71">
        <v>3.1105279999999999E-2</v>
      </c>
      <c r="L214" s="71">
        <v>8.2624369999999992E-3</v>
      </c>
      <c r="M214" s="71">
        <v>9.4022819999999997E-3</v>
      </c>
      <c r="N214" s="71">
        <v>9.1863559999999997E-3</v>
      </c>
      <c r="O214" s="71">
        <v>9.5392440000000005E-3</v>
      </c>
      <c r="P214" s="71">
        <v>1.1130298E-2</v>
      </c>
      <c r="Q214" s="71">
        <v>1.2592574E-2</v>
      </c>
      <c r="R214" s="71">
        <v>1.3894669E-2</v>
      </c>
      <c r="S214" s="71">
        <v>4.1413723999999999E-2</v>
      </c>
      <c r="T214" s="71">
        <v>4.1192597999999997E-2</v>
      </c>
      <c r="U214" s="71">
        <v>4.3872451999999999E-2</v>
      </c>
      <c r="V214" s="71">
        <v>4.7359389000000002E-2</v>
      </c>
      <c r="W214" s="71">
        <v>4.8458737000000002E-2</v>
      </c>
      <c r="X214" s="71">
        <v>4.8593206E-2</v>
      </c>
      <c r="Y214" s="71">
        <v>4.8644751999999999E-2</v>
      </c>
      <c r="Z214" s="71">
        <v>1.4598247E-2</v>
      </c>
      <c r="AA214" s="71">
        <v>1.3791256E-2</v>
      </c>
      <c r="AB214" s="71">
        <v>1.2593612000000001E-2</v>
      </c>
      <c r="AC214" s="71">
        <v>1.2342949000000001E-2</v>
      </c>
      <c r="AD214" s="71">
        <v>1.2051734999999999E-2</v>
      </c>
      <c r="AE214" s="71">
        <v>1.3570084E-2</v>
      </c>
      <c r="AF214" s="71">
        <v>1.4088521E-2</v>
      </c>
      <c r="AG214" s="71">
        <v>3.4819279000000002E-2</v>
      </c>
      <c r="AH214" s="71">
        <v>3.6644118000000003E-2</v>
      </c>
      <c r="AI214" s="71">
        <v>4.0362031999999999E-2</v>
      </c>
      <c r="AJ214" s="71">
        <v>4.4332161000000002E-2</v>
      </c>
      <c r="AK214" s="71">
        <v>4.7295616999999998E-2</v>
      </c>
      <c r="AL214" s="71">
        <v>4.7597390000000003E-2</v>
      </c>
      <c r="AM214" s="71">
        <v>4.8407617E-2</v>
      </c>
      <c r="AN214" s="71">
        <v>4.1740763E-2</v>
      </c>
      <c r="AO214" s="71">
        <v>0.751568613</v>
      </c>
      <c r="AP214" s="71">
        <v>-7.9160792999999993E-2</v>
      </c>
    </row>
    <row r="215" spans="1:42" x14ac:dyDescent="0.2">
      <c r="A215" t="s">
        <v>288</v>
      </c>
      <c r="B215" t="s">
        <v>112</v>
      </c>
      <c r="C215" t="s">
        <v>329</v>
      </c>
      <c r="D215" t="s">
        <v>289</v>
      </c>
      <c r="E215" s="71">
        <v>4.6505690000000002E-2</v>
      </c>
      <c r="F215" s="71">
        <v>4.6427369000000003E-2</v>
      </c>
      <c r="G215" s="71">
        <v>4.6228289999999998E-2</v>
      </c>
      <c r="H215" s="71">
        <v>4.5935749999999997E-2</v>
      </c>
      <c r="I215" s="71">
        <v>4.5733809E-2</v>
      </c>
      <c r="J215" s="71">
        <v>4.5596480000000002E-2</v>
      </c>
      <c r="K215" s="71">
        <v>4.5500039999999999E-2</v>
      </c>
      <c r="L215" s="71">
        <v>2.8064787000000001E-2</v>
      </c>
      <c r="M215" s="71">
        <v>2.9465986999999999E-2</v>
      </c>
      <c r="N215" s="71">
        <v>2.8884223000000001E-2</v>
      </c>
      <c r="O215" s="71">
        <v>2.7705666E-2</v>
      </c>
      <c r="P215" s="71">
        <v>2.7547506999999999E-2</v>
      </c>
      <c r="Q215" s="71">
        <v>2.8205965E-2</v>
      </c>
      <c r="R215" s="71">
        <v>2.9013774999999999E-2</v>
      </c>
      <c r="S215" s="71">
        <v>6.4996189999999995E-2</v>
      </c>
      <c r="T215" s="71">
        <v>6.3681930999999997E-2</v>
      </c>
      <c r="U215" s="71">
        <v>6.3943520000000004E-2</v>
      </c>
      <c r="V215" s="71">
        <v>6.4449039E-2</v>
      </c>
      <c r="W215" s="71">
        <v>6.4180047000000004E-2</v>
      </c>
      <c r="X215" s="71">
        <v>6.3149588000000006E-2</v>
      </c>
      <c r="Y215" s="71">
        <v>6.235665E-2</v>
      </c>
      <c r="Z215" s="71">
        <v>3.5885735000000002E-2</v>
      </c>
      <c r="AA215" s="71">
        <v>3.4894269999999998E-2</v>
      </c>
      <c r="AB215" s="71">
        <v>3.2875049000000003E-2</v>
      </c>
      <c r="AC215" s="71">
        <v>2.9984796000000001E-2</v>
      </c>
      <c r="AD215" s="71">
        <v>2.9085412000000001E-2</v>
      </c>
      <c r="AE215" s="71">
        <v>2.9086338E-2</v>
      </c>
      <c r="AF215" s="71">
        <v>3.0176957000000001E-2</v>
      </c>
      <c r="AG215" s="71">
        <v>5.7261350000000003E-2</v>
      </c>
      <c r="AH215" s="71">
        <v>5.8114209E-2</v>
      </c>
      <c r="AI215" s="71">
        <v>5.9775904999999997E-2</v>
      </c>
      <c r="AJ215" s="71">
        <v>6.2150289999999997E-2</v>
      </c>
      <c r="AK215" s="71">
        <v>6.2664268999999995E-2</v>
      </c>
      <c r="AL215" s="71">
        <v>6.2381865000000002E-2</v>
      </c>
      <c r="AM215" s="71">
        <v>6.1059925000000001E-2</v>
      </c>
      <c r="AN215" s="71">
        <v>4.7673331999999999E-2</v>
      </c>
      <c r="AO215" s="71">
        <v>0.79313115599999995</v>
      </c>
      <c r="AP215" s="71">
        <v>-5.8438902000000001E-2</v>
      </c>
    </row>
    <row r="216" spans="1:42" x14ac:dyDescent="0.2">
      <c r="A216" t="s">
        <v>191</v>
      </c>
      <c r="B216" t="s">
        <v>112</v>
      </c>
      <c r="C216" t="s">
        <v>195</v>
      </c>
      <c r="D216" t="s">
        <v>194</v>
      </c>
      <c r="E216" s="71">
        <v>8.9398026000000005E-2</v>
      </c>
      <c r="F216" s="71">
        <v>8.8125705999999998E-2</v>
      </c>
      <c r="G216" s="71">
        <v>8.5342765000000001E-2</v>
      </c>
      <c r="H216" s="71">
        <v>8.1869960000000006E-2</v>
      </c>
      <c r="I216" s="71">
        <v>7.9756379000000002E-2</v>
      </c>
      <c r="J216" s="71">
        <v>7.8412889999999999E-2</v>
      </c>
      <c r="K216" s="71">
        <v>7.7500342999999999E-2</v>
      </c>
      <c r="L216" s="71">
        <v>6.2565905000000005E-2</v>
      </c>
      <c r="M216" s="71">
        <v>6.1724633000000001E-2</v>
      </c>
      <c r="N216" s="71">
        <v>5.4812432000000001E-2</v>
      </c>
      <c r="O216" s="71">
        <v>4.6702173E-2</v>
      </c>
      <c r="P216" s="71">
        <v>4.4905051000000001E-2</v>
      </c>
      <c r="Q216" s="71">
        <v>4.4399404000000003E-2</v>
      </c>
      <c r="R216" s="71">
        <v>4.4563699999999998E-2</v>
      </c>
      <c r="S216" s="71">
        <v>0.117163266</v>
      </c>
      <c r="T216" s="71">
        <v>0.115023822</v>
      </c>
      <c r="U216" s="71">
        <v>0.116498263</v>
      </c>
      <c r="V216" s="71">
        <v>0.117996111</v>
      </c>
      <c r="W216" s="71">
        <v>0.115962591</v>
      </c>
      <c r="X216" s="71">
        <v>0.114188846</v>
      </c>
      <c r="Y216" s="71">
        <v>0.111597024</v>
      </c>
      <c r="Z216" s="71">
        <v>7.4078467999999995E-2</v>
      </c>
      <c r="AA216" s="71">
        <v>6.9113400000000005E-2</v>
      </c>
      <c r="AB216" s="71">
        <v>5.9420766E-2</v>
      </c>
      <c r="AC216" s="71">
        <v>4.8059547000000001E-2</v>
      </c>
      <c r="AD216" s="71">
        <v>4.4766499000000001E-2</v>
      </c>
      <c r="AE216" s="71">
        <v>4.4837830000000002E-2</v>
      </c>
      <c r="AF216" s="71">
        <v>4.5360350000000001E-2</v>
      </c>
      <c r="AG216" s="71">
        <v>0.104936089</v>
      </c>
      <c r="AH216" s="71">
        <v>0.10747614699999999</v>
      </c>
      <c r="AI216" s="71">
        <v>0.111899045</v>
      </c>
      <c r="AJ216" s="71">
        <v>0.116771008</v>
      </c>
      <c r="AK216" s="71">
        <v>0.115918297</v>
      </c>
      <c r="AL216" s="71">
        <v>0.11306675099999999</v>
      </c>
      <c r="AM216" s="71">
        <v>0.11062857199999999</v>
      </c>
      <c r="AN216" s="71">
        <v>6.6585082000000004E-2</v>
      </c>
      <c r="AO216" s="71">
        <v>0.37069374199999999</v>
      </c>
      <c r="AP216" s="71">
        <v>0.15226863800000001</v>
      </c>
    </row>
    <row r="217" spans="1:42" x14ac:dyDescent="0.2">
      <c r="A217" t="s">
        <v>191</v>
      </c>
      <c r="B217" t="s">
        <v>112</v>
      </c>
      <c r="C217" t="s">
        <v>193</v>
      </c>
      <c r="D217" t="s">
        <v>192</v>
      </c>
      <c r="E217" s="71">
        <v>8.0616117000000001E-2</v>
      </c>
      <c r="F217" s="71">
        <v>7.9693675000000005E-2</v>
      </c>
      <c r="G217" s="71">
        <v>7.7748418E-2</v>
      </c>
      <c r="H217" s="71">
        <v>7.5453162000000004E-2</v>
      </c>
      <c r="I217" s="71">
        <v>7.4134706999999994E-2</v>
      </c>
      <c r="J217" s="71">
        <v>7.3326707000000005E-2</v>
      </c>
      <c r="K217" s="71">
        <v>7.2788357999999997E-2</v>
      </c>
      <c r="L217" s="71">
        <v>6.2937619E-2</v>
      </c>
      <c r="M217" s="71">
        <v>6.2778862000000005E-2</v>
      </c>
      <c r="N217" s="71">
        <v>6.0008372999999997E-2</v>
      </c>
      <c r="O217" s="71">
        <v>5.6636242000000003E-2</v>
      </c>
      <c r="P217" s="71">
        <v>5.5227269000000002E-2</v>
      </c>
      <c r="Q217" s="71">
        <v>5.4988614999999998E-2</v>
      </c>
      <c r="R217" s="71">
        <v>5.5353879000000002E-2</v>
      </c>
      <c r="S217" s="71">
        <v>9.8611985999999999E-2</v>
      </c>
      <c r="T217" s="71">
        <v>9.6742286999999996E-2</v>
      </c>
      <c r="U217" s="71">
        <v>9.6069272999999997E-2</v>
      </c>
      <c r="V217" s="71">
        <v>9.4481606999999995E-2</v>
      </c>
      <c r="W217" s="71">
        <v>9.3306713999999999E-2</v>
      </c>
      <c r="X217" s="71">
        <v>9.2161266000000006E-2</v>
      </c>
      <c r="Y217" s="71">
        <v>9.0608526999999994E-2</v>
      </c>
      <c r="Z217" s="71">
        <v>6.7132219000000007E-2</v>
      </c>
      <c r="AA217" s="71">
        <v>6.5985061999999997E-2</v>
      </c>
      <c r="AB217" s="71">
        <v>6.2439700000000001E-2</v>
      </c>
      <c r="AC217" s="71">
        <v>5.7544832999999997E-2</v>
      </c>
      <c r="AD217" s="71">
        <v>5.5854758999999997E-2</v>
      </c>
      <c r="AE217" s="71">
        <v>5.5790802E-2</v>
      </c>
      <c r="AF217" s="71">
        <v>5.5461314999999997E-2</v>
      </c>
      <c r="AG217" s="71">
        <v>9.4270189000000004E-2</v>
      </c>
      <c r="AH217" s="71">
        <v>9.3578667000000004E-2</v>
      </c>
      <c r="AI217" s="71">
        <v>9.3277655000000001E-2</v>
      </c>
      <c r="AJ217" s="71">
        <v>9.3664602999999999E-2</v>
      </c>
      <c r="AK217" s="71">
        <v>9.2731279E-2</v>
      </c>
      <c r="AL217" s="71">
        <v>9.1153638999999995E-2</v>
      </c>
      <c r="AM217" s="71">
        <v>9.0399682999999995E-2</v>
      </c>
      <c r="AN217" s="71">
        <v>3.6019611E-2</v>
      </c>
      <c r="AO217" s="71">
        <v>0.212089165</v>
      </c>
      <c r="AP217" s="71">
        <v>0.287902294</v>
      </c>
    </row>
    <row r="218" spans="1:42" x14ac:dyDescent="0.2">
      <c r="A218" t="s">
        <v>259</v>
      </c>
      <c r="B218" t="s">
        <v>112</v>
      </c>
      <c r="C218" t="s">
        <v>261</v>
      </c>
      <c r="D218" t="s">
        <v>260</v>
      </c>
      <c r="E218" s="71">
        <v>1.3680695999999999E-2</v>
      </c>
      <c r="F218" s="71">
        <v>1.4230132E-2</v>
      </c>
      <c r="G218" s="71">
        <v>1.5330910999999999E-2</v>
      </c>
      <c r="H218" s="71">
        <v>1.6504287999999999E-2</v>
      </c>
      <c r="I218" s="71">
        <v>1.7089248000000001E-2</v>
      </c>
      <c r="J218" s="71">
        <v>1.7408251999999999E-2</v>
      </c>
      <c r="K218" s="71">
        <v>1.7605185999999998E-2</v>
      </c>
      <c r="L218" s="71">
        <v>-2.312915E-3</v>
      </c>
      <c r="M218" s="71">
        <v>1.3371300000000001E-4</v>
      </c>
      <c r="N218" s="71">
        <v>2.2579169999999999E-3</v>
      </c>
      <c r="O218" s="71">
        <v>3.8556599999999999E-3</v>
      </c>
      <c r="P218" s="71">
        <v>4.9253659999999996E-3</v>
      </c>
      <c r="Q218" s="71">
        <v>5.8385670000000002E-3</v>
      </c>
      <c r="R218" s="71">
        <v>6.5181730000000004E-3</v>
      </c>
      <c r="S218" s="71">
        <v>2.9802743999999999E-2</v>
      </c>
      <c r="T218" s="71">
        <v>2.8385912999999999E-2</v>
      </c>
      <c r="U218" s="71">
        <v>2.8839635999999998E-2</v>
      </c>
      <c r="V218" s="71">
        <v>2.9308984E-2</v>
      </c>
      <c r="W218" s="71">
        <v>2.9439717000000001E-2</v>
      </c>
      <c r="X218" s="71">
        <v>2.9011743999999999E-2</v>
      </c>
      <c r="Y218" s="71">
        <v>2.8711486000000001E-2</v>
      </c>
      <c r="Z218" s="71">
        <v>7.7046329999999998E-3</v>
      </c>
      <c r="AA218" s="71">
        <v>7.6856279999999999E-3</v>
      </c>
      <c r="AB218" s="71">
        <v>7.3321840000000003E-3</v>
      </c>
      <c r="AC218" s="71">
        <v>7.1534190000000003E-3</v>
      </c>
      <c r="AD218" s="71">
        <v>7.3337050000000003E-3</v>
      </c>
      <c r="AE218" s="71">
        <v>8.1285980000000008E-3</v>
      </c>
      <c r="AF218" s="71">
        <v>8.9720230000000008E-3</v>
      </c>
      <c r="AG218" s="71">
        <v>1.9704748000000001E-2</v>
      </c>
      <c r="AH218" s="71">
        <v>2.0828955E-2</v>
      </c>
      <c r="AI218" s="71">
        <v>2.3403340000000002E-2</v>
      </c>
      <c r="AJ218" s="71">
        <v>2.5949614999999999E-2</v>
      </c>
      <c r="AK218" s="71">
        <v>2.6945285999999999E-2</v>
      </c>
      <c r="AL218" s="71">
        <v>2.6778138E-2</v>
      </c>
      <c r="AM218" s="71">
        <v>2.6316323999999999E-2</v>
      </c>
      <c r="AN218" s="71">
        <v>4.9802272000000002E-2</v>
      </c>
      <c r="AO218" s="71">
        <v>0.72148027199999998</v>
      </c>
      <c r="AP218" s="71">
        <v>0.23287180199999999</v>
      </c>
    </row>
    <row r="219" spans="1:42" x14ac:dyDescent="0.2">
      <c r="A219" t="s">
        <v>259</v>
      </c>
      <c r="B219" t="s">
        <v>112</v>
      </c>
      <c r="C219" t="s">
        <v>120</v>
      </c>
      <c r="D219" t="s">
        <v>166</v>
      </c>
      <c r="E219" s="71">
        <v>3.050208E-3</v>
      </c>
      <c r="F219" s="71">
        <v>4.9133299999999996E-3</v>
      </c>
      <c r="G219" s="71">
        <v>9.1905589999999992E-3</v>
      </c>
      <c r="H219" s="71">
        <v>1.4892578E-2</v>
      </c>
      <c r="I219" s="71">
        <v>1.8571377E-2</v>
      </c>
      <c r="J219" s="71">
        <v>2.0987868E-2</v>
      </c>
      <c r="K219" s="71">
        <v>2.2656559999999999E-2</v>
      </c>
      <c r="L219" s="71">
        <v>-1.2399235E-2</v>
      </c>
      <c r="M219" s="71">
        <v>-8.5733920000000009E-3</v>
      </c>
      <c r="N219" s="71">
        <v>-3.509032E-3</v>
      </c>
      <c r="O219" s="71">
        <v>3.2873249999999998E-3</v>
      </c>
      <c r="P219" s="71">
        <v>7.4878310000000003E-3</v>
      </c>
      <c r="Q219" s="71">
        <v>1.0447375E-2</v>
      </c>
      <c r="R219" s="71">
        <v>1.2651244000000001E-2</v>
      </c>
      <c r="S219" s="71">
        <v>1.8667407E-2</v>
      </c>
      <c r="T219" s="71">
        <v>1.8552263999999999E-2</v>
      </c>
      <c r="U219" s="71">
        <v>2.1868993999999999E-2</v>
      </c>
      <c r="V219" s="71">
        <v>2.6663941E-2</v>
      </c>
      <c r="W219" s="71">
        <v>3.0067396999999999E-2</v>
      </c>
      <c r="X219" s="71">
        <v>3.1594948999999997E-2</v>
      </c>
      <c r="Y219" s="71">
        <v>3.271437E-2</v>
      </c>
      <c r="Z219" s="71">
        <v>-2.3620440000000002E-3</v>
      </c>
      <c r="AA219" s="71">
        <v>-8.7016299999999997E-4</v>
      </c>
      <c r="AB219" s="71">
        <v>2.0848049999999999E-3</v>
      </c>
      <c r="AC219" s="71">
        <v>6.6068309999999996E-3</v>
      </c>
      <c r="AD219" s="71">
        <v>1.0152680000000001E-2</v>
      </c>
      <c r="AE219" s="71">
        <v>1.2979716000000001E-2</v>
      </c>
      <c r="AF219" s="71">
        <v>1.4918641E-2</v>
      </c>
      <c r="AG219" s="71">
        <v>8.4814390000000003E-3</v>
      </c>
      <c r="AH219" s="71">
        <v>1.0720606000000001E-2</v>
      </c>
      <c r="AI219" s="71">
        <v>1.6338109E-2</v>
      </c>
      <c r="AJ219" s="71">
        <v>2.3240157000000001E-2</v>
      </c>
      <c r="AK219" s="71">
        <v>2.7055049000000001E-2</v>
      </c>
      <c r="AL219" s="71">
        <v>2.9055055999999999E-2</v>
      </c>
      <c r="AM219" s="71">
        <v>3.0449950999999999E-2</v>
      </c>
      <c r="AN219" s="71">
        <v>4.8362404999999997E-2</v>
      </c>
      <c r="AO219" s="71">
        <v>0.70393642599999995</v>
      </c>
      <c r="AP219" s="71">
        <v>0.33724715</v>
      </c>
    </row>
    <row r="220" spans="1:42" x14ac:dyDescent="0.2">
      <c r="A220" t="s">
        <v>288</v>
      </c>
      <c r="B220" t="s">
        <v>112</v>
      </c>
      <c r="C220" t="s">
        <v>120</v>
      </c>
      <c r="D220" t="s">
        <v>166</v>
      </c>
      <c r="E220" s="71">
        <v>3.6152005000000001E-2</v>
      </c>
      <c r="F220" s="71">
        <v>3.7004231999999998E-2</v>
      </c>
      <c r="G220" s="71">
        <v>3.9047837000000002E-2</v>
      </c>
      <c r="H220" s="71">
        <v>4.193902E-2</v>
      </c>
      <c r="I220" s="71">
        <v>4.3904065999999999E-2</v>
      </c>
      <c r="J220" s="71">
        <v>4.5233130000000003E-2</v>
      </c>
      <c r="K220" s="71">
        <v>4.6164512999999997E-2</v>
      </c>
      <c r="L220" s="71">
        <v>2.0140748999999999E-2</v>
      </c>
      <c r="M220" s="71">
        <v>2.3301222E-2</v>
      </c>
      <c r="N220" s="71">
        <v>2.6718796E-2</v>
      </c>
      <c r="O220" s="71">
        <v>3.0663973000000001E-2</v>
      </c>
      <c r="P220" s="71">
        <v>3.3045666000000001E-2</v>
      </c>
      <c r="Q220" s="71">
        <v>3.5206274000000003E-2</v>
      </c>
      <c r="R220" s="71">
        <v>3.6652332000000003E-2</v>
      </c>
      <c r="S220" s="71">
        <v>5.2496701E-2</v>
      </c>
      <c r="T220" s="71">
        <v>5.1196471E-2</v>
      </c>
      <c r="U220" s="71">
        <v>5.1551104E-2</v>
      </c>
      <c r="V220" s="71">
        <v>5.3479124000000003E-2</v>
      </c>
      <c r="W220" s="71">
        <v>5.4727168E-2</v>
      </c>
      <c r="X220" s="71">
        <v>5.5296707E-2</v>
      </c>
      <c r="Y220" s="71">
        <v>5.5737153999999997E-2</v>
      </c>
      <c r="Z220" s="71">
        <v>3.0674980000000001E-2</v>
      </c>
      <c r="AA220" s="71">
        <v>3.1118328000000001E-2</v>
      </c>
      <c r="AB220" s="71">
        <v>3.2308620000000003E-2</v>
      </c>
      <c r="AC220" s="71">
        <v>3.4455848999999997E-2</v>
      </c>
      <c r="AD220" s="71">
        <v>3.6448686000000001E-2</v>
      </c>
      <c r="AE220" s="71">
        <v>3.8151967000000002E-2</v>
      </c>
      <c r="AF220" s="71">
        <v>3.9023176999999999E-2</v>
      </c>
      <c r="AG220" s="71">
        <v>4.1647152E-2</v>
      </c>
      <c r="AH220" s="71">
        <v>4.2913389000000003E-2</v>
      </c>
      <c r="AI220" s="71">
        <v>4.5822422000000002E-2</v>
      </c>
      <c r="AJ220" s="71">
        <v>4.9469550000000001E-2</v>
      </c>
      <c r="AK220" s="71">
        <v>5.1407842000000002E-2</v>
      </c>
      <c r="AL220" s="71">
        <v>5.2358465E-2</v>
      </c>
      <c r="AM220" s="71">
        <v>5.3351449000000002E-2</v>
      </c>
      <c r="AN220" s="71">
        <v>4.8362404999999997E-2</v>
      </c>
      <c r="AO220" s="71">
        <v>0.70393642599999995</v>
      </c>
      <c r="AP220" s="71">
        <v>9.6838227999999998E-2</v>
      </c>
    </row>
    <row r="221" spans="1:42" x14ac:dyDescent="0.2">
      <c r="A221" t="s">
        <v>272</v>
      </c>
      <c r="B221" t="s">
        <v>112</v>
      </c>
      <c r="C221" t="s">
        <v>120</v>
      </c>
      <c r="D221" t="s">
        <v>166</v>
      </c>
      <c r="E221" s="71">
        <v>2.6310921000000001E-2</v>
      </c>
      <c r="F221" s="71">
        <v>2.7584313999999999E-2</v>
      </c>
      <c r="G221" s="71">
        <v>3.0538082000000001E-2</v>
      </c>
      <c r="H221" s="71">
        <v>3.4540175999999999E-2</v>
      </c>
      <c r="I221" s="71">
        <v>3.7165641999999999E-2</v>
      </c>
      <c r="J221" s="71">
        <v>3.8909078E-2</v>
      </c>
      <c r="K221" s="71">
        <v>4.0119886E-2</v>
      </c>
      <c r="L221" s="71">
        <v>1.0513382999999999E-2</v>
      </c>
      <c r="M221" s="71">
        <v>1.3748906999999999E-2</v>
      </c>
      <c r="N221" s="71">
        <v>1.7977693999999999E-2</v>
      </c>
      <c r="O221" s="71">
        <v>2.2673212000000002E-2</v>
      </c>
      <c r="P221" s="71">
        <v>2.6148026000000001E-2</v>
      </c>
      <c r="Q221" s="71">
        <v>2.8515637999999999E-2</v>
      </c>
      <c r="R221" s="71">
        <v>3.0187285000000001E-2</v>
      </c>
      <c r="S221" s="71">
        <v>4.2501044000000002E-2</v>
      </c>
      <c r="T221" s="71">
        <v>4.1573451999999997E-2</v>
      </c>
      <c r="U221" s="71">
        <v>4.3245048000000001E-2</v>
      </c>
      <c r="V221" s="71">
        <v>4.6521027999999999E-2</v>
      </c>
      <c r="W221" s="71">
        <v>4.8449471000000001E-2</v>
      </c>
      <c r="X221" s="71">
        <v>4.9412612000000002E-2</v>
      </c>
      <c r="Y221" s="71">
        <v>5.0046222000000001E-2</v>
      </c>
      <c r="Z221" s="71">
        <v>2.0709324000000001E-2</v>
      </c>
      <c r="AA221" s="71">
        <v>2.1845195000000001E-2</v>
      </c>
      <c r="AB221" s="71">
        <v>2.3459154999999999E-2</v>
      </c>
      <c r="AC221" s="71">
        <v>2.5769711000000001E-2</v>
      </c>
      <c r="AD221" s="71">
        <v>2.8722059000000001E-2</v>
      </c>
      <c r="AE221" s="71">
        <v>3.06296E-2</v>
      </c>
      <c r="AF221" s="71">
        <v>3.2627057000000001E-2</v>
      </c>
      <c r="AG221" s="71">
        <v>3.1932513000000003E-2</v>
      </c>
      <c r="AH221" s="71">
        <v>3.3345611999999997E-2</v>
      </c>
      <c r="AI221" s="71">
        <v>3.7657193999999998E-2</v>
      </c>
      <c r="AJ221" s="71">
        <v>4.3378946000000002E-2</v>
      </c>
      <c r="AK221" s="71">
        <v>4.5673534000000002E-2</v>
      </c>
      <c r="AL221" s="71">
        <v>4.7250765E-2</v>
      </c>
      <c r="AM221" s="71">
        <v>4.7663619999999997E-2</v>
      </c>
      <c r="AN221" s="71">
        <v>4.8362404999999997E-2</v>
      </c>
      <c r="AO221" s="71">
        <v>0.70393642599999995</v>
      </c>
      <c r="AP221" s="71">
        <v>0.25199926299999997</v>
      </c>
    </row>
    <row r="222" spans="1:42" x14ac:dyDescent="0.2">
      <c r="A222" t="s">
        <v>178</v>
      </c>
      <c r="B222" t="s">
        <v>112</v>
      </c>
      <c r="C222" t="s">
        <v>120</v>
      </c>
      <c r="D222" t="s">
        <v>166</v>
      </c>
      <c r="E222" s="71">
        <v>3.2292843000000002E-2</v>
      </c>
      <c r="F222" s="71">
        <v>3.3699751E-2</v>
      </c>
      <c r="G222" s="71">
        <v>3.6779046000000003E-2</v>
      </c>
      <c r="H222" s="71">
        <v>4.0747999999999999E-2</v>
      </c>
      <c r="I222" s="71">
        <v>4.3292998999999999E-2</v>
      </c>
      <c r="J222" s="71">
        <v>4.4974089000000002E-2</v>
      </c>
      <c r="K222" s="71">
        <v>4.6140790000000001E-2</v>
      </c>
      <c r="L222" s="71">
        <v>1.6394467999999999E-2</v>
      </c>
      <c r="M222" s="71">
        <v>1.9875799E-2</v>
      </c>
      <c r="N222" s="71">
        <v>2.355759E-2</v>
      </c>
      <c r="O222" s="71">
        <v>2.8510951E-2</v>
      </c>
      <c r="P222" s="71">
        <v>3.2054529999999998E-2</v>
      </c>
      <c r="Q222" s="71">
        <v>3.4262384E-2</v>
      </c>
      <c r="R222" s="71">
        <v>3.6115811999999997E-2</v>
      </c>
      <c r="S222" s="71">
        <v>4.8156391999999999E-2</v>
      </c>
      <c r="T222" s="71">
        <v>4.7742529999999998E-2</v>
      </c>
      <c r="U222" s="71">
        <v>4.9713708000000002E-2</v>
      </c>
      <c r="V222" s="71">
        <v>5.2863913999999998E-2</v>
      </c>
      <c r="W222" s="71">
        <v>5.4675110999999998E-2</v>
      </c>
      <c r="X222" s="71">
        <v>5.5556091000000002E-2</v>
      </c>
      <c r="Y222" s="71">
        <v>5.6053914000000003E-2</v>
      </c>
      <c r="Z222" s="71">
        <v>2.6943888999999999E-2</v>
      </c>
      <c r="AA222" s="71">
        <v>2.8015539999999998E-2</v>
      </c>
      <c r="AB222" s="71">
        <v>2.9537504999999999E-2</v>
      </c>
      <c r="AC222" s="71">
        <v>3.2698038999999998E-2</v>
      </c>
      <c r="AD222" s="71">
        <v>3.5357881000000001E-2</v>
      </c>
      <c r="AE222" s="71">
        <v>3.7095245999999998E-2</v>
      </c>
      <c r="AF222" s="71">
        <v>3.8716114000000003E-2</v>
      </c>
      <c r="AG222" s="71">
        <v>3.7669559999999998E-2</v>
      </c>
      <c r="AH222" s="71">
        <v>3.9415516999999997E-2</v>
      </c>
      <c r="AI222" s="71">
        <v>4.4071470000000001E-2</v>
      </c>
      <c r="AJ222" s="71">
        <v>4.8860727E-2</v>
      </c>
      <c r="AK222" s="71">
        <v>5.1288886999999998E-2</v>
      </c>
      <c r="AL222" s="71">
        <v>5.2912747000000003E-2</v>
      </c>
      <c r="AM222" s="71">
        <v>5.3618682000000001E-2</v>
      </c>
      <c r="AN222" s="71">
        <v>4.8362404999999997E-2</v>
      </c>
      <c r="AO222" s="71">
        <v>0.70393642599999995</v>
      </c>
      <c r="AP222" s="71">
        <v>0.122049881</v>
      </c>
    </row>
    <row r="223" spans="1:42" x14ac:dyDescent="0.2">
      <c r="A223" t="s">
        <v>254</v>
      </c>
      <c r="B223" t="s">
        <v>112</v>
      </c>
      <c r="C223" t="s">
        <v>120</v>
      </c>
      <c r="D223" t="s">
        <v>166</v>
      </c>
      <c r="E223" s="71">
        <v>1.7991661999999999E-2</v>
      </c>
      <c r="F223" s="71">
        <v>2.0679950999999999E-2</v>
      </c>
      <c r="G223" s="71">
        <v>2.6878715000000001E-2</v>
      </c>
      <c r="H223" s="71">
        <v>3.5175204000000002E-2</v>
      </c>
      <c r="I223" s="71">
        <v>4.0532112000000002E-2</v>
      </c>
      <c r="J223" s="71">
        <v>4.4046759999999997E-2</v>
      </c>
      <c r="K223" s="71">
        <v>4.6470999999999998E-2</v>
      </c>
      <c r="L223" s="71">
        <v>2.1769879999999999E-3</v>
      </c>
      <c r="M223" s="71">
        <v>7.0427670000000001E-3</v>
      </c>
      <c r="N223" s="71">
        <v>1.4079164E-2</v>
      </c>
      <c r="O223" s="71">
        <v>2.3066206999999998E-2</v>
      </c>
      <c r="P223" s="71">
        <v>2.9134489999999999E-2</v>
      </c>
      <c r="Q223" s="71">
        <v>3.3211189000000002E-2</v>
      </c>
      <c r="R223" s="71">
        <v>3.6467003999999997E-2</v>
      </c>
      <c r="S223" s="71">
        <v>3.4228442999999997E-2</v>
      </c>
      <c r="T223" s="71">
        <v>3.5020975000000003E-2</v>
      </c>
      <c r="U223" s="71">
        <v>3.9826350000000003E-2</v>
      </c>
      <c r="V223" s="71">
        <v>4.7427637000000002E-2</v>
      </c>
      <c r="W223" s="71">
        <v>5.2280721000000002E-2</v>
      </c>
      <c r="X223" s="71">
        <v>5.4830988999999997E-2</v>
      </c>
      <c r="Y223" s="71">
        <v>5.6640719999999999E-2</v>
      </c>
      <c r="Z223" s="71">
        <v>1.2560976E-2</v>
      </c>
      <c r="AA223" s="71">
        <v>1.5078696000000001E-2</v>
      </c>
      <c r="AB223" s="71">
        <v>1.9536395000000002E-2</v>
      </c>
      <c r="AC223" s="71">
        <v>2.7062249E-2</v>
      </c>
      <c r="AD223" s="71">
        <v>3.1808149000000001E-2</v>
      </c>
      <c r="AE223" s="71">
        <v>3.5753366000000002E-2</v>
      </c>
      <c r="AF223" s="71">
        <v>3.7948791000000003E-2</v>
      </c>
      <c r="AG223" s="71">
        <v>2.3451521999999999E-2</v>
      </c>
      <c r="AH223" s="71">
        <v>2.6312091999999999E-2</v>
      </c>
      <c r="AI223" s="71">
        <v>3.4273922999999998E-2</v>
      </c>
      <c r="AJ223" s="71">
        <v>4.3352412999999999E-2</v>
      </c>
      <c r="AK223" s="71">
        <v>4.9329748999999999E-2</v>
      </c>
      <c r="AL223" s="71">
        <v>5.2406564000000003E-2</v>
      </c>
      <c r="AM223" s="71">
        <v>5.5063146E-2</v>
      </c>
      <c r="AN223" s="71">
        <v>4.8362404999999997E-2</v>
      </c>
      <c r="AO223" s="71">
        <v>0.70393642599999995</v>
      </c>
      <c r="AP223" s="71">
        <v>0.25082637400000002</v>
      </c>
    </row>
    <row r="224" spans="1:42" x14ac:dyDescent="0.2">
      <c r="A224" t="s">
        <v>214</v>
      </c>
      <c r="B224" t="s">
        <v>112</v>
      </c>
      <c r="C224" t="s">
        <v>120</v>
      </c>
      <c r="D224" t="s">
        <v>166</v>
      </c>
      <c r="E224" s="71">
        <v>2.8796077E-2</v>
      </c>
      <c r="F224" s="71">
        <v>2.9851437000000001E-2</v>
      </c>
      <c r="G224" s="71">
        <v>3.2433271E-2</v>
      </c>
      <c r="H224" s="71">
        <v>3.6186694999999998E-2</v>
      </c>
      <c r="I224" s="71">
        <v>3.8810134000000003E-2</v>
      </c>
      <c r="J224" s="71">
        <v>4.0621400000000002E-2</v>
      </c>
      <c r="K224" s="71">
        <v>4.1908503E-2</v>
      </c>
      <c r="L224" s="71">
        <v>1.3009355E-2</v>
      </c>
      <c r="M224" s="71">
        <v>1.5885350999999999E-2</v>
      </c>
      <c r="N224" s="71">
        <v>1.9471405000000001E-2</v>
      </c>
      <c r="O224" s="71">
        <v>2.3691235000000001E-2</v>
      </c>
      <c r="P224" s="71">
        <v>2.6890346999999998E-2</v>
      </c>
      <c r="Q224" s="71">
        <v>2.9021269999999998E-2</v>
      </c>
      <c r="R224" s="71">
        <v>3.0874788E-2</v>
      </c>
      <c r="S224" s="71">
        <v>4.4958282000000002E-2</v>
      </c>
      <c r="T224" s="71">
        <v>4.3938021000000001E-2</v>
      </c>
      <c r="U224" s="71">
        <v>4.5704818000000001E-2</v>
      </c>
      <c r="V224" s="71">
        <v>4.8586169999999998E-2</v>
      </c>
      <c r="W224" s="71">
        <v>5.0727814000000003E-2</v>
      </c>
      <c r="X224" s="71">
        <v>5.2213158000000003E-2</v>
      </c>
      <c r="Y224" s="71">
        <v>5.3066741000000001E-2</v>
      </c>
      <c r="Z224" s="71">
        <v>2.3731281E-2</v>
      </c>
      <c r="AA224" s="71">
        <v>2.4313136999999999E-2</v>
      </c>
      <c r="AB224" s="71">
        <v>2.5148746E-2</v>
      </c>
      <c r="AC224" s="71">
        <v>2.7661169999999999E-2</v>
      </c>
      <c r="AD224" s="71">
        <v>2.9817669000000002E-2</v>
      </c>
      <c r="AE224" s="71">
        <v>3.1476389E-2</v>
      </c>
      <c r="AF224" s="71">
        <v>3.2831674999999998E-2</v>
      </c>
      <c r="AG224" s="71">
        <v>3.3874928999999998E-2</v>
      </c>
      <c r="AH224" s="71">
        <v>3.5409230999999999E-2</v>
      </c>
      <c r="AI224" s="71">
        <v>3.9760680999999999E-2</v>
      </c>
      <c r="AJ224" s="71">
        <v>4.4776281000000001E-2</v>
      </c>
      <c r="AK224" s="71">
        <v>4.7875752000000001E-2</v>
      </c>
      <c r="AL224" s="71">
        <v>4.9842978000000003E-2</v>
      </c>
      <c r="AM224" s="71">
        <v>5.1061565000000003E-2</v>
      </c>
      <c r="AN224" s="71">
        <v>4.8362404999999997E-2</v>
      </c>
      <c r="AO224" s="71">
        <v>0.70393642599999995</v>
      </c>
      <c r="AP224" s="71">
        <v>0.36972751500000001</v>
      </c>
    </row>
    <row r="225" spans="1:42" x14ac:dyDescent="0.2">
      <c r="A225" t="s">
        <v>164</v>
      </c>
      <c r="B225" t="s">
        <v>112</v>
      </c>
      <c r="C225" t="s">
        <v>120</v>
      </c>
      <c r="D225" t="s">
        <v>166</v>
      </c>
      <c r="E225" s="71">
        <v>1.8265605000000001E-2</v>
      </c>
      <c r="F225" s="71">
        <v>1.9700407999999999E-2</v>
      </c>
      <c r="G225" s="71">
        <v>2.3246645999999999E-2</v>
      </c>
      <c r="H225" s="71">
        <v>2.8483391E-2</v>
      </c>
      <c r="I225" s="71">
        <v>3.2204627999999999E-2</v>
      </c>
      <c r="J225" s="71">
        <v>3.4805774999999997E-2</v>
      </c>
      <c r="K225" s="71">
        <v>3.6669730999999997E-2</v>
      </c>
      <c r="L225" s="71">
        <v>2.5846269999999999E-3</v>
      </c>
      <c r="M225" s="71">
        <v>6.1872940000000003E-3</v>
      </c>
      <c r="N225" s="71">
        <v>1.1163729000000001E-2</v>
      </c>
      <c r="O225" s="71">
        <v>1.7529110000000001E-2</v>
      </c>
      <c r="P225" s="71">
        <v>2.1776690000000001E-2</v>
      </c>
      <c r="Q225" s="71">
        <v>2.5083100000000001E-2</v>
      </c>
      <c r="R225" s="71">
        <v>2.7433567999999998E-2</v>
      </c>
      <c r="S225" s="71">
        <v>3.4126386000000002E-2</v>
      </c>
      <c r="T225" s="71">
        <v>3.3441334000000003E-2</v>
      </c>
      <c r="U225" s="71">
        <v>3.5629779E-2</v>
      </c>
      <c r="V225" s="71">
        <v>3.9773375999999999E-2</v>
      </c>
      <c r="W225" s="71">
        <v>4.2808125000000002E-2</v>
      </c>
      <c r="X225" s="71">
        <v>4.4608452999999999E-2</v>
      </c>
      <c r="Y225" s="71">
        <v>4.6082539999999998E-2</v>
      </c>
      <c r="Z225" s="71">
        <v>1.3031411E-2</v>
      </c>
      <c r="AA225" s="71">
        <v>1.4246448E-2</v>
      </c>
      <c r="AB225" s="71">
        <v>1.6942167000000001E-2</v>
      </c>
      <c r="AC225" s="71">
        <v>2.1061427000000001E-2</v>
      </c>
      <c r="AD225" s="71">
        <v>2.4676705E-2</v>
      </c>
      <c r="AE225" s="71">
        <v>2.7741558999999999E-2</v>
      </c>
      <c r="AF225" s="71">
        <v>3.0058694E-2</v>
      </c>
      <c r="AG225" s="71">
        <v>2.351607E-2</v>
      </c>
      <c r="AH225" s="71">
        <v>2.5173636999999999E-2</v>
      </c>
      <c r="AI225" s="71">
        <v>2.9581548999999999E-2</v>
      </c>
      <c r="AJ225" s="71">
        <v>3.5952588000000001E-2</v>
      </c>
      <c r="AK225" s="71">
        <v>3.9782865000000001E-2</v>
      </c>
      <c r="AL225" s="71">
        <v>4.1914173999999998E-2</v>
      </c>
      <c r="AM225" s="71">
        <v>4.3319679E-2</v>
      </c>
      <c r="AN225" s="71">
        <v>4.8362404999999997E-2</v>
      </c>
      <c r="AO225" s="71">
        <v>0.70393642599999995</v>
      </c>
      <c r="AP225" s="71">
        <v>0.27781983100000002</v>
      </c>
    </row>
    <row r="226" spans="1:42" x14ac:dyDescent="0.2">
      <c r="A226" t="s">
        <v>240</v>
      </c>
      <c r="B226" t="s">
        <v>112</v>
      </c>
      <c r="C226" t="s">
        <v>122</v>
      </c>
      <c r="D226" t="s">
        <v>121</v>
      </c>
      <c r="E226" s="71">
        <v>2.4614334000000002E-2</v>
      </c>
      <c r="F226" s="71">
        <v>2.5811434000000001E-2</v>
      </c>
      <c r="G226" s="71">
        <v>2.8697848000000001E-2</v>
      </c>
      <c r="H226" s="71">
        <v>3.2800078000000003E-2</v>
      </c>
      <c r="I226" s="71">
        <v>3.5596013000000003E-2</v>
      </c>
      <c r="J226" s="71">
        <v>3.7489532999999998E-2</v>
      </c>
      <c r="K226" s="71">
        <v>3.8817285999999999E-2</v>
      </c>
      <c r="L226" s="71">
        <v>-1.0611397999999999E-2</v>
      </c>
      <c r="M226" s="71">
        <v>-6.5300610000000002E-3</v>
      </c>
      <c r="N226" s="71">
        <v>-3.3018779999999998E-3</v>
      </c>
      <c r="O226" s="71">
        <v>5.1013199999999995E-4</v>
      </c>
      <c r="P226" s="71">
        <v>3.4661319999999998E-3</v>
      </c>
      <c r="Q226" s="71">
        <v>5.8073689999999997E-3</v>
      </c>
      <c r="R226" s="71">
        <v>7.0918969999999998E-3</v>
      </c>
      <c r="S226" s="71">
        <v>6.1127163999999998E-2</v>
      </c>
      <c r="T226" s="71">
        <v>5.9188518000000002E-2</v>
      </c>
      <c r="U226" s="71">
        <v>6.1358124E-2</v>
      </c>
      <c r="V226" s="71">
        <v>6.5787719999999994E-2</v>
      </c>
      <c r="W226" s="71">
        <v>6.8378579999999994E-2</v>
      </c>
      <c r="X226" s="71">
        <v>6.9954614999999998E-2</v>
      </c>
      <c r="Y226" s="71">
        <v>7.1407393999999999E-2</v>
      </c>
      <c r="Z226" s="71">
        <v>1.302552E-3</v>
      </c>
      <c r="AA226" s="71">
        <v>1.1657989999999999E-3</v>
      </c>
      <c r="AB226" s="71">
        <v>2.3688260000000001E-3</v>
      </c>
      <c r="AC226" s="71">
        <v>5.0958549999999998E-3</v>
      </c>
      <c r="AD226" s="71">
        <v>6.3663529999999999E-3</v>
      </c>
      <c r="AE226" s="71">
        <v>7.9607210000000005E-3</v>
      </c>
      <c r="AF226" s="71">
        <v>8.6815620000000003E-3</v>
      </c>
      <c r="AG226" s="71">
        <v>4.8469070000000003E-2</v>
      </c>
      <c r="AH226" s="71">
        <v>5.1063582000000003E-2</v>
      </c>
      <c r="AI226" s="71">
        <v>5.5718256000000001E-2</v>
      </c>
      <c r="AJ226" s="71">
        <v>6.1267966E-2</v>
      </c>
      <c r="AK226" s="71">
        <v>6.5674800000000005E-2</v>
      </c>
      <c r="AL226" s="71">
        <v>6.7883465000000004E-2</v>
      </c>
      <c r="AM226" s="71">
        <v>6.9853269999999995E-2</v>
      </c>
      <c r="AN226" s="71">
        <v>8.5470008E-2</v>
      </c>
      <c r="AO226" s="71">
        <v>0.398952996</v>
      </c>
      <c r="AP226" s="71">
        <v>0.48764146899999999</v>
      </c>
    </row>
    <row r="227" spans="1:42" x14ac:dyDescent="0.2">
      <c r="A227" t="s">
        <v>224</v>
      </c>
      <c r="B227" t="s">
        <v>112</v>
      </c>
      <c r="C227" t="s">
        <v>122</v>
      </c>
      <c r="D227" t="s">
        <v>121</v>
      </c>
      <c r="E227" s="71">
        <v>3.9526462999999998E-2</v>
      </c>
      <c r="F227" s="71">
        <v>4.0270448E-2</v>
      </c>
      <c r="G227" s="71">
        <v>4.1948317999999998E-2</v>
      </c>
      <c r="H227" s="71">
        <v>4.4049024999999999E-2</v>
      </c>
      <c r="I227" s="71">
        <v>4.5239449000000001E-2</v>
      </c>
      <c r="J227" s="71">
        <v>4.5902251999999998E-2</v>
      </c>
      <c r="K227" s="71">
        <v>4.6286820999999999E-2</v>
      </c>
      <c r="L227" s="71">
        <v>4.2936559999999999E-3</v>
      </c>
      <c r="M227" s="71">
        <v>7.4094039999999996E-3</v>
      </c>
      <c r="N227" s="71">
        <v>9.4140720000000008E-3</v>
      </c>
      <c r="O227" s="71">
        <v>1.1695462E-2</v>
      </c>
      <c r="P227" s="71">
        <v>1.3898475E-2</v>
      </c>
      <c r="Q227" s="71">
        <v>1.6041164E-2</v>
      </c>
      <c r="R227" s="71">
        <v>1.8257875E-2</v>
      </c>
      <c r="S227" s="71">
        <v>7.5462870000000001E-2</v>
      </c>
      <c r="T227" s="71">
        <v>7.4282598000000005E-2</v>
      </c>
      <c r="U227" s="71">
        <v>7.5468763999999994E-2</v>
      </c>
      <c r="V227" s="71">
        <v>7.7254828999999997E-2</v>
      </c>
      <c r="W227" s="71">
        <v>7.7906821000000001E-2</v>
      </c>
      <c r="X227" s="71">
        <v>7.6784019999999994E-2</v>
      </c>
      <c r="Y227" s="71">
        <v>7.5207904000000006E-2</v>
      </c>
      <c r="Z227" s="71">
        <v>1.5620324E-2</v>
      </c>
      <c r="AA227" s="71">
        <v>1.6397261999999999E-2</v>
      </c>
      <c r="AB227" s="71">
        <v>1.5235337999999999E-2</v>
      </c>
      <c r="AC227" s="71">
        <v>1.5438288999999999E-2</v>
      </c>
      <c r="AD227" s="71">
        <v>1.8091485000000001E-2</v>
      </c>
      <c r="AE227" s="71">
        <v>2.0045727999999999E-2</v>
      </c>
      <c r="AF227" s="71">
        <v>2.0813984000000001E-2</v>
      </c>
      <c r="AG227" s="71">
        <v>6.3995298000000006E-2</v>
      </c>
      <c r="AH227" s="71">
        <v>6.4704302000000005E-2</v>
      </c>
      <c r="AI227" s="71">
        <v>6.9364292999999994E-2</v>
      </c>
      <c r="AJ227" s="71">
        <v>7.3465999000000004E-2</v>
      </c>
      <c r="AK227" s="71">
        <v>7.3111349000000006E-2</v>
      </c>
      <c r="AL227" s="71">
        <v>7.2414193000000002E-2</v>
      </c>
      <c r="AM227" s="71">
        <v>7.2395421000000001E-2</v>
      </c>
      <c r="AN227" s="71">
        <v>8.5470008E-2</v>
      </c>
      <c r="AO227" s="71">
        <v>0.41945861299999998</v>
      </c>
      <c r="AP227" s="71">
        <v>0.48593378700000001</v>
      </c>
    </row>
    <row r="228" spans="1:42" x14ac:dyDescent="0.2">
      <c r="A228" t="s">
        <v>200</v>
      </c>
      <c r="B228" t="s">
        <v>112</v>
      </c>
      <c r="C228" t="s">
        <v>122</v>
      </c>
      <c r="D228" t="s">
        <v>121</v>
      </c>
      <c r="E228" s="71">
        <v>1.1691689E-2</v>
      </c>
      <c r="F228" s="71">
        <v>1.3250113000000001E-2</v>
      </c>
      <c r="G228" s="71">
        <v>1.6829729000000002E-2</v>
      </c>
      <c r="H228" s="71">
        <v>2.1670460999999999E-2</v>
      </c>
      <c r="I228" s="71">
        <v>2.4866461999999999E-2</v>
      </c>
      <c r="J228" s="71">
        <v>2.7002453999999999E-2</v>
      </c>
      <c r="K228" s="71">
        <v>2.8491974E-2</v>
      </c>
      <c r="L228" s="71">
        <v>-2.2977523E-2</v>
      </c>
      <c r="M228" s="71">
        <v>-1.8715414999999999E-2</v>
      </c>
      <c r="N228" s="71">
        <v>-1.4664876E-2</v>
      </c>
      <c r="O228" s="71">
        <v>-1.0219887E-2</v>
      </c>
      <c r="P228" s="71">
        <v>-5.1793669999999998E-3</v>
      </c>
      <c r="Q228" s="71">
        <v>-1.625977E-3</v>
      </c>
      <c r="R228" s="71">
        <v>1.109096E-3</v>
      </c>
      <c r="S228" s="71">
        <v>4.7802179E-2</v>
      </c>
      <c r="T228" s="71">
        <v>4.6114746999999998E-2</v>
      </c>
      <c r="U228" s="71">
        <v>4.9195793000000002E-2</v>
      </c>
      <c r="V228" s="71">
        <v>5.426019E-2</v>
      </c>
      <c r="W228" s="71">
        <v>5.6115523E-2</v>
      </c>
      <c r="X228" s="71">
        <v>5.6885449999999997E-2</v>
      </c>
      <c r="Y228" s="71">
        <v>5.6869184000000003E-2</v>
      </c>
      <c r="Z228" s="71">
        <v>-1.0818794E-2</v>
      </c>
      <c r="AA228" s="71">
        <v>-1.0006256E-2</v>
      </c>
      <c r="AB228" s="71">
        <v>-1.0678751E-2</v>
      </c>
      <c r="AC228" s="71">
        <v>-5.6702159999999996E-3</v>
      </c>
      <c r="AD228" s="71">
        <v>-2.4334370000000001E-3</v>
      </c>
      <c r="AE228" s="71">
        <v>3.7618599999999998E-4</v>
      </c>
      <c r="AF228" s="71">
        <v>3.305564E-3</v>
      </c>
      <c r="AG228" s="71">
        <v>3.4713792E-2</v>
      </c>
      <c r="AH228" s="71">
        <v>3.7052455999999998E-2</v>
      </c>
      <c r="AI228" s="71">
        <v>4.5102719999999999E-2</v>
      </c>
      <c r="AJ228" s="71">
        <v>4.9762715999999999E-2</v>
      </c>
      <c r="AK228" s="71">
        <v>5.2913371000000001E-2</v>
      </c>
      <c r="AL228" s="71">
        <v>5.4337099E-2</v>
      </c>
      <c r="AM228" s="71">
        <v>5.4310464000000003E-2</v>
      </c>
      <c r="AN228" s="71">
        <v>8.5470008E-2</v>
      </c>
      <c r="AO228" s="71">
        <v>0.42296875900000003</v>
      </c>
      <c r="AP228" s="71">
        <v>0.49296411299999998</v>
      </c>
    </row>
    <row r="229" spans="1:42" x14ac:dyDescent="0.2">
      <c r="A229" t="s">
        <v>259</v>
      </c>
      <c r="B229" t="s">
        <v>112</v>
      </c>
      <c r="C229" t="s">
        <v>122</v>
      </c>
      <c r="D229" t="s">
        <v>121</v>
      </c>
      <c r="E229" s="71">
        <v>5.8407779999999996E-3</v>
      </c>
      <c r="F229" s="71">
        <v>8.0701109999999996E-3</v>
      </c>
      <c r="G229" s="71">
        <v>1.3233541999999999E-2</v>
      </c>
      <c r="H229" s="71">
        <v>2.0203233000000001E-2</v>
      </c>
      <c r="I229" s="71">
        <v>2.4750589999999999E-2</v>
      </c>
      <c r="J229" s="71">
        <v>2.7757525000000002E-2</v>
      </c>
      <c r="K229" s="71">
        <v>2.9841303999999999E-2</v>
      </c>
      <c r="L229" s="71">
        <v>-2.8573599000000002E-2</v>
      </c>
      <c r="M229" s="71">
        <v>-2.3706525999999999E-2</v>
      </c>
      <c r="N229" s="71">
        <v>-1.8317252999999999E-2</v>
      </c>
      <c r="O229" s="71">
        <v>-1.1168384999999999E-2</v>
      </c>
      <c r="P229" s="71">
        <v>-5.1260760000000002E-3</v>
      </c>
      <c r="Q229" s="71">
        <v>-9.7327700000000004E-4</v>
      </c>
      <c r="R229" s="71">
        <v>2.287875E-3</v>
      </c>
      <c r="S229" s="71">
        <v>4.1206199999999998E-2</v>
      </c>
      <c r="T229" s="71">
        <v>4.0873887999999997E-2</v>
      </c>
      <c r="U229" s="71">
        <v>4.5588891999999999E-2</v>
      </c>
      <c r="V229" s="71">
        <v>5.2128617000000002E-2</v>
      </c>
      <c r="W229" s="71">
        <v>5.5309180999999999E-2</v>
      </c>
      <c r="X229" s="71">
        <v>5.7286976000000003E-2</v>
      </c>
      <c r="Y229" s="71">
        <v>5.8429646000000002E-2</v>
      </c>
      <c r="Z229" s="71">
        <v>-1.6746378999999999E-2</v>
      </c>
      <c r="AA229" s="71">
        <v>-1.4527395E-2</v>
      </c>
      <c r="AB229" s="71">
        <v>-1.1641517000000001E-2</v>
      </c>
      <c r="AC229" s="71">
        <v>-7.2554530000000002E-3</v>
      </c>
      <c r="AD229" s="71">
        <v>-3.7092219999999999E-3</v>
      </c>
      <c r="AE229" s="71">
        <v>5.0903999999999999E-4</v>
      </c>
      <c r="AF229" s="71">
        <v>5.0349059999999996E-3</v>
      </c>
      <c r="AG229" s="71">
        <v>2.8946570000000001E-2</v>
      </c>
      <c r="AH229" s="71">
        <v>3.1185488000000001E-2</v>
      </c>
      <c r="AI229" s="71">
        <v>3.8734394999999998E-2</v>
      </c>
      <c r="AJ229" s="71">
        <v>4.8421210999999999E-2</v>
      </c>
      <c r="AK229" s="71">
        <v>5.4023374999999998E-2</v>
      </c>
      <c r="AL229" s="71">
        <v>5.574805E-2</v>
      </c>
      <c r="AM229" s="71">
        <v>5.5259888E-2</v>
      </c>
      <c r="AN229" s="71">
        <v>8.5470008E-2</v>
      </c>
      <c r="AO229" s="71">
        <v>0.42960962800000002</v>
      </c>
      <c r="AP229" s="71">
        <v>0.48883491499999998</v>
      </c>
    </row>
    <row r="230" spans="1:42" x14ac:dyDescent="0.2">
      <c r="A230" t="s">
        <v>138</v>
      </c>
      <c r="B230" t="s">
        <v>112</v>
      </c>
      <c r="C230" t="s">
        <v>367</v>
      </c>
      <c r="D230" t="s">
        <v>144</v>
      </c>
      <c r="E230" s="71">
        <v>4.6785474000000001E-2</v>
      </c>
      <c r="F230" s="71">
        <v>4.6469569000000002E-2</v>
      </c>
      <c r="G230" s="75">
        <v>4.5654416000000003E-2</v>
      </c>
      <c r="H230" s="71">
        <v>4.4366002000000002E-2</v>
      </c>
      <c r="I230" s="71">
        <v>4.3377279999999997E-2</v>
      </c>
      <c r="J230" s="71">
        <v>4.2641759000000001E-2</v>
      </c>
      <c r="K230" s="71">
        <v>4.2089224000000001E-2</v>
      </c>
      <c r="L230" s="71">
        <v>3.5603986999999997E-2</v>
      </c>
      <c r="M230" s="71">
        <v>3.6178184000000002E-2</v>
      </c>
      <c r="N230" s="71">
        <v>3.4808072000000002E-2</v>
      </c>
      <c r="O230" s="71">
        <v>3.1849189E-2</v>
      </c>
      <c r="P230" s="71">
        <v>3.0453474000000001E-2</v>
      </c>
      <c r="Q230" s="71">
        <v>2.9932463999999999E-2</v>
      </c>
      <c r="R230" s="71">
        <v>2.9512539000000001E-2</v>
      </c>
      <c r="S230" s="71">
        <v>5.7871290999999998E-2</v>
      </c>
      <c r="T230" s="71">
        <v>5.6902266999999999E-2</v>
      </c>
      <c r="U230" s="71">
        <v>5.6829063999999999E-2</v>
      </c>
      <c r="V230" s="71">
        <v>5.7201768E-2</v>
      </c>
      <c r="W230" s="71">
        <v>5.6652121999999999E-2</v>
      </c>
      <c r="X230" s="71">
        <v>5.5626507999999998E-2</v>
      </c>
      <c r="Y230" s="71">
        <v>5.5017224000000003E-2</v>
      </c>
      <c r="Z230" s="71">
        <v>4.1661767000000002E-2</v>
      </c>
      <c r="AA230" s="71">
        <v>4.0799133000000001E-2</v>
      </c>
      <c r="AB230" s="71">
        <v>3.7854800000000001E-2</v>
      </c>
      <c r="AC230" s="71">
        <v>3.3947146999999997E-2</v>
      </c>
      <c r="AD230" s="71">
        <v>3.1529218999999997E-2</v>
      </c>
      <c r="AE230" s="71">
        <v>3.0266405E-2</v>
      </c>
      <c r="AF230" s="71">
        <v>2.9246405E-2</v>
      </c>
      <c r="AG230" s="71">
        <v>5.1934466999999998E-2</v>
      </c>
      <c r="AH230" s="71">
        <v>5.2171126999999998E-2</v>
      </c>
      <c r="AI230" s="71">
        <v>5.3512836000000001E-2</v>
      </c>
      <c r="AJ230" s="71">
        <v>5.4889923E-2</v>
      </c>
      <c r="AK230" s="71">
        <v>5.5361366000000002E-2</v>
      </c>
      <c r="AL230" s="71">
        <v>5.5165779999999998E-2</v>
      </c>
      <c r="AM230" s="71">
        <v>5.5092365999999997E-2</v>
      </c>
      <c r="AN230" s="71">
        <v>3.1485302999999999E-2</v>
      </c>
      <c r="AO230" s="71">
        <v>1</v>
      </c>
      <c r="AP230" s="71">
        <v>-7.5440752999999999E-2</v>
      </c>
    </row>
    <row r="231" spans="1:42" x14ac:dyDescent="0.2">
      <c r="A231" t="s">
        <v>240</v>
      </c>
      <c r="B231" t="s">
        <v>112</v>
      </c>
      <c r="C231" t="s">
        <v>118</v>
      </c>
      <c r="D231" t="s">
        <v>204</v>
      </c>
      <c r="E231" s="71">
        <v>3.7090777999999998E-2</v>
      </c>
      <c r="F231" s="71">
        <v>3.7401915000000001E-2</v>
      </c>
      <c r="G231" s="71">
        <v>3.8150906999999998E-2</v>
      </c>
      <c r="H231" s="71">
        <v>3.9212823000000001E-2</v>
      </c>
      <c r="I231" s="71">
        <v>3.9934754000000003E-2</v>
      </c>
      <c r="J231" s="71">
        <v>4.0422677999999997E-2</v>
      </c>
      <c r="K231" s="71">
        <v>4.0764451E-2</v>
      </c>
      <c r="L231" s="71">
        <v>1.3002737E-2</v>
      </c>
      <c r="M231" s="71">
        <v>1.5770072999999999E-2</v>
      </c>
      <c r="N231" s="71">
        <v>1.7883567999999999E-2</v>
      </c>
      <c r="O231" s="71">
        <v>1.9167474E-2</v>
      </c>
      <c r="P231" s="71">
        <v>1.9486363E-2</v>
      </c>
      <c r="Q231" s="71">
        <v>1.9255471999999999E-2</v>
      </c>
      <c r="R231" s="71">
        <v>1.8338667999999999E-2</v>
      </c>
      <c r="S231" s="71">
        <v>6.2091629000000002E-2</v>
      </c>
      <c r="T231" s="71">
        <v>5.9683211999999999E-2</v>
      </c>
      <c r="U231" s="71">
        <v>5.8800291999999997E-2</v>
      </c>
      <c r="V231" s="71">
        <v>5.9357594999999999E-2</v>
      </c>
      <c r="W231" s="71">
        <v>6.0963059999999999E-2</v>
      </c>
      <c r="X231" s="71">
        <v>6.2242308000000003E-2</v>
      </c>
      <c r="Y231" s="71">
        <v>6.3915727000000006E-2</v>
      </c>
      <c r="Z231" s="71">
        <v>2.3675641000000001E-2</v>
      </c>
      <c r="AA231" s="71">
        <v>2.4291779999999999E-2</v>
      </c>
      <c r="AB231" s="71">
        <v>2.2727054E-2</v>
      </c>
      <c r="AC231" s="71">
        <v>2.2693484E-2</v>
      </c>
      <c r="AD231" s="71">
        <v>2.2380209000000002E-2</v>
      </c>
      <c r="AE231" s="71">
        <v>2.1731951999999999E-2</v>
      </c>
      <c r="AF231" s="71">
        <v>2.0627166999999998E-2</v>
      </c>
      <c r="AG231" s="71">
        <v>5.0681465000000002E-2</v>
      </c>
      <c r="AH231" s="71">
        <v>5.0679488000000002E-2</v>
      </c>
      <c r="AI231" s="71">
        <v>5.3807178999999997E-2</v>
      </c>
      <c r="AJ231" s="71">
        <v>5.5998792999999998E-2</v>
      </c>
      <c r="AK231" s="71">
        <v>5.7790473000000002E-2</v>
      </c>
      <c r="AL231" s="71">
        <v>5.9455255999999998E-2</v>
      </c>
      <c r="AM231" s="71">
        <v>6.1298946E-2</v>
      </c>
      <c r="AN231" s="71">
        <v>6.5146328000000003E-2</v>
      </c>
      <c r="AO231" s="71">
        <v>7.3737746000000007E-2</v>
      </c>
      <c r="AP231" s="71">
        <v>0.67978660899999999</v>
      </c>
    </row>
    <row r="232" spans="1:42" x14ac:dyDescent="0.2">
      <c r="A232" t="s">
        <v>224</v>
      </c>
      <c r="B232" t="s">
        <v>112</v>
      </c>
      <c r="C232" t="s">
        <v>118</v>
      </c>
      <c r="D232" t="s">
        <v>204</v>
      </c>
      <c r="E232" s="71">
        <v>5.1192999000000003E-2</v>
      </c>
      <c r="F232" s="71">
        <v>5.1033138999999998E-2</v>
      </c>
      <c r="G232" s="71">
        <v>5.0532460000000001E-2</v>
      </c>
      <c r="H232" s="71">
        <v>4.9541712000000002E-2</v>
      </c>
      <c r="I232" s="71">
        <v>4.8629403000000002E-2</v>
      </c>
      <c r="J232" s="71">
        <v>4.7870636000000001E-2</v>
      </c>
      <c r="K232" s="71">
        <v>4.7260165E-2</v>
      </c>
      <c r="L232" s="71">
        <v>2.6688288000000001E-2</v>
      </c>
      <c r="M232" s="71">
        <v>2.9620249000000001E-2</v>
      </c>
      <c r="N232" s="71">
        <v>3.0374284000000001E-2</v>
      </c>
      <c r="O232" s="71">
        <v>3.0048399999999999E-2</v>
      </c>
      <c r="P232" s="71">
        <v>3.0159882999999998E-2</v>
      </c>
      <c r="Q232" s="71">
        <v>3.0111914E-2</v>
      </c>
      <c r="R232" s="71">
        <v>3.0179231000000001E-2</v>
      </c>
      <c r="S232" s="71">
        <v>7.5887880000000005E-2</v>
      </c>
      <c r="T232" s="71">
        <v>7.2986869999999995E-2</v>
      </c>
      <c r="U232" s="71">
        <v>7.1204499000000004E-2</v>
      </c>
      <c r="V232" s="71">
        <v>6.9611290000000006E-2</v>
      </c>
      <c r="W232" s="71">
        <v>6.7654964999999997E-2</v>
      </c>
      <c r="X232" s="71">
        <v>6.5975740000000005E-2</v>
      </c>
      <c r="Y232" s="71">
        <v>6.4488860999999995E-2</v>
      </c>
      <c r="Z232" s="71">
        <v>3.6966667000000002E-2</v>
      </c>
      <c r="AA232" s="71">
        <v>3.7170398E-2</v>
      </c>
      <c r="AB232" s="71">
        <v>3.5343716999999997E-2</v>
      </c>
      <c r="AC232" s="71">
        <v>3.4192720000000003E-2</v>
      </c>
      <c r="AD232" s="71">
        <v>3.2869254000000001E-2</v>
      </c>
      <c r="AE232" s="71">
        <v>3.2661570000000001E-2</v>
      </c>
      <c r="AF232" s="71">
        <v>3.2807546E-2</v>
      </c>
      <c r="AG232" s="71">
        <v>6.5614352000000001E-2</v>
      </c>
      <c r="AH232" s="71">
        <v>6.5080857000000006E-2</v>
      </c>
      <c r="AI232" s="71">
        <v>6.5943936999999994E-2</v>
      </c>
      <c r="AJ232" s="71">
        <v>6.5118304000000002E-2</v>
      </c>
      <c r="AK232" s="71">
        <v>6.4629745000000002E-2</v>
      </c>
      <c r="AL232" s="71">
        <v>6.3303739999999997E-2</v>
      </c>
      <c r="AM232" s="71">
        <v>6.1914935999999997E-2</v>
      </c>
      <c r="AN232" s="71">
        <v>6.5146328000000003E-2</v>
      </c>
      <c r="AO232" s="71">
        <v>0.121304254</v>
      </c>
      <c r="AP232" s="71">
        <v>0.68035830100000005</v>
      </c>
    </row>
    <row r="233" spans="1:42" x14ac:dyDescent="0.2">
      <c r="A233" t="s">
        <v>200</v>
      </c>
      <c r="B233" t="s">
        <v>112</v>
      </c>
      <c r="C233" t="s">
        <v>118</v>
      </c>
      <c r="D233" t="s">
        <v>204</v>
      </c>
      <c r="E233" s="71">
        <v>2.4184345999999999E-2</v>
      </c>
      <c r="F233" s="71">
        <v>2.4872661000000001E-2</v>
      </c>
      <c r="G233" s="71">
        <v>2.6347994999999999E-2</v>
      </c>
      <c r="H233" s="71">
        <v>2.8188466999999998E-2</v>
      </c>
      <c r="I233" s="71">
        <v>2.9334664E-2</v>
      </c>
      <c r="J233" s="71">
        <v>3.0080557000000001E-2</v>
      </c>
      <c r="K233" s="71">
        <v>3.0594468E-2</v>
      </c>
      <c r="L233" s="71">
        <v>6.3353599999999997E-4</v>
      </c>
      <c r="M233" s="71">
        <v>3.7345590000000001E-3</v>
      </c>
      <c r="N233" s="71">
        <v>6.4914500000000002E-3</v>
      </c>
      <c r="O233" s="71">
        <v>9.6040740000000006E-3</v>
      </c>
      <c r="P233" s="71">
        <v>1.1847069E-2</v>
      </c>
      <c r="Q233" s="71">
        <v>1.3657437E-2</v>
      </c>
      <c r="R233" s="71">
        <v>1.4905326E-2</v>
      </c>
      <c r="S233" s="71">
        <v>4.8553397999999998E-2</v>
      </c>
      <c r="T233" s="71">
        <v>4.6572476000000002E-2</v>
      </c>
      <c r="U233" s="71">
        <v>4.6393585000000001E-2</v>
      </c>
      <c r="V233" s="71">
        <v>4.6808651E-2</v>
      </c>
      <c r="W233" s="71">
        <v>4.7041311000000002E-2</v>
      </c>
      <c r="X233" s="71">
        <v>4.6860484000000001E-2</v>
      </c>
      <c r="Y233" s="71">
        <v>4.6516577000000003E-2</v>
      </c>
      <c r="Z233" s="71">
        <v>1.1263337999999999E-2</v>
      </c>
      <c r="AA233" s="71">
        <v>1.1477638E-2</v>
      </c>
      <c r="AB233" s="71">
        <v>1.2375130999999999E-2</v>
      </c>
      <c r="AC233" s="71">
        <v>1.4062286E-2</v>
      </c>
      <c r="AD233" s="71">
        <v>1.5493331000000001E-2</v>
      </c>
      <c r="AE233" s="71">
        <v>1.6327785000000001E-2</v>
      </c>
      <c r="AF233" s="71">
        <v>1.7662474000000001E-2</v>
      </c>
      <c r="AG233" s="71">
        <v>3.7199343000000003E-2</v>
      </c>
      <c r="AH233" s="71">
        <v>3.8377859E-2</v>
      </c>
      <c r="AI233" s="71">
        <v>4.0456145999999998E-2</v>
      </c>
      <c r="AJ233" s="71">
        <v>4.2467848000000002E-2</v>
      </c>
      <c r="AK233" s="71">
        <v>4.3330606000000001E-2</v>
      </c>
      <c r="AL233" s="71">
        <v>4.3991588999999998E-2</v>
      </c>
      <c r="AM233" s="71">
        <v>4.3667624000000002E-2</v>
      </c>
      <c r="AN233" s="71">
        <v>6.5146328000000003E-2</v>
      </c>
      <c r="AO233" s="71">
        <v>0.140925573</v>
      </c>
      <c r="AP233" s="71">
        <v>0.68511337400000005</v>
      </c>
    </row>
    <row r="234" spans="1:42" x14ac:dyDescent="0.2">
      <c r="A234" t="s">
        <v>259</v>
      </c>
      <c r="B234" t="s">
        <v>112</v>
      </c>
      <c r="C234" t="s">
        <v>118</v>
      </c>
      <c r="D234" t="s">
        <v>204</v>
      </c>
      <c r="E234" s="71">
        <v>1.8119216E-2</v>
      </c>
      <c r="F234" s="71">
        <v>1.9490838E-2</v>
      </c>
      <c r="G234" s="71">
        <v>2.2575378E-2</v>
      </c>
      <c r="H234" s="71">
        <v>2.6568531999999999E-2</v>
      </c>
      <c r="I234" s="71">
        <v>2.9074788000000001E-2</v>
      </c>
      <c r="J234" s="71">
        <v>3.0694127000000002E-2</v>
      </c>
      <c r="K234" s="71">
        <v>3.1802654E-2</v>
      </c>
      <c r="L234" s="71">
        <v>-5.4978149999999996E-3</v>
      </c>
      <c r="M234" s="71">
        <v>-1.560018E-3</v>
      </c>
      <c r="N234" s="71">
        <v>2.7609399999999999E-3</v>
      </c>
      <c r="O234" s="71">
        <v>7.8776330000000002E-3</v>
      </c>
      <c r="P234" s="71">
        <v>1.1317216E-2</v>
      </c>
      <c r="Q234" s="71">
        <v>1.3947869E-2</v>
      </c>
      <c r="R234" s="71">
        <v>1.5860685999999999E-2</v>
      </c>
      <c r="S234" s="71">
        <v>4.2065459999999999E-2</v>
      </c>
      <c r="T234" s="71">
        <v>4.1168789999999997E-2</v>
      </c>
      <c r="U234" s="71">
        <v>4.3008187000000003E-2</v>
      </c>
      <c r="V234" s="71">
        <v>4.5696156000000002E-2</v>
      </c>
      <c r="W234" s="71">
        <v>4.7179076E-2</v>
      </c>
      <c r="X234" s="71">
        <v>4.7921241000000003E-2</v>
      </c>
      <c r="Y234" s="71">
        <v>4.8056231999999997E-2</v>
      </c>
      <c r="Z234" s="71">
        <v>5.6304930000000003E-3</v>
      </c>
      <c r="AA234" s="71">
        <v>6.9087799999999998E-3</v>
      </c>
      <c r="AB234" s="71">
        <v>8.2544530000000001E-3</v>
      </c>
      <c r="AC234" s="71">
        <v>1.1976270000000001E-2</v>
      </c>
      <c r="AD234" s="71">
        <v>1.4244949999999999E-2</v>
      </c>
      <c r="AE234" s="71">
        <v>1.6558231E-2</v>
      </c>
      <c r="AF234" s="71">
        <v>1.8216911999999998E-2</v>
      </c>
      <c r="AG234" s="71">
        <v>3.0692496999999999E-2</v>
      </c>
      <c r="AH234" s="71">
        <v>3.2163561E-2</v>
      </c>
      <c r="AI234" s="71">
        <v>3.7042535000000001E-2</v>
      </c>
      <c r="AJ234" s="71">
        <v>4.1327836E-2</v>
      </c>
      <c r="AK234" s="71">
        <v>4.4087253999999999E-2</v>
      </c>
      <c r="AL234" s="71">
        <v>4.4998844000000003E-2</v>
      </c>
      <c r="AM234" s="71">
        <v>4.5546392999999998E-2</v>
      </c>
      <c r="AN234" s="71">
        <v>6.5146328000000003E-2</v>
      </c>
      <c r="AO234" s="71">
        <v>0.14476847300000001</v>
      </c>
      <c r="AP234" s="71">
        <v>0.68308749400000002</v>
      </c>
    </row>
    <row r="235" spans="1:42" x14ac:dyDescent="0.2">
      <c r="A235" t="s">
        <v>254</v>
      </c>
      <c r="B235" t="s">
        <v>112</v>
      </c>
      <c r="C235" t="s">
        <v>118</v>
      </c>
      <c r="D235" t="s">
        <v>117</v>
      </c>
      <c r="E235" s="71">
        <v>3.3272386000000001E-2</v>
      </c>
      <c r="F235" s="71">
        <v>3.5473228000000002E-2</v>
      </c>
      <c r="G235" s="71">
        <v>4.0485144000000001E-2</v>
      </c>
      <c r="H235" s="71">
        <v>4.7071217999999998E-2</v>
      </c>
      <c r="I235" s="71">
        <v>5.1248311999999997E-2</v>
      </c>
      <c r="J235" s="71">
        <v>5.3958535000000002E-2</v>
      </c>
      <c r="K235" s="71">
        <v>5.5816293000000003E-2</v>
      </c>
      <c r="L235" s="71">
        <v>9.4492340000000008E-3</v>
      </c>
      <c r="M235" s="71">
        <v>1.3829842E-2</v>
      </c>
      <c r="N235" s="71">
        <v>2.0233753E-2</v>
      </c>
      <c r="O235" s="71">
        <v>2.7881362999999999E-2</v>
      </c>
      <c r="P235" s="71">
        <v>3.3201293E-2</v>
      </c>
      <c r="Q235" s="71">
        <v>3.6738787000000002E-2</v>
      </c>
      <c r="R235" s="71">
        <v>3.9340289000000001E-2</v>
      </c>
      <c r="S235" s="71">
        <v>5.7216500000000003E-2</v>
      </c>
      <c r="T235" s="71">
        <v>5.7372663999999997E-2</v>
      </c>
      <c r="U235" s="71">
        <v>6.1048116999999999E-2</v>
      </c>
      <c r="V235" s="71">
        <v>6.6315725000000006E-2</v>
      </c>
      <c r="W235" s="71">
        <v>6.9458677999999996E-2</v>
      </c>
      <c r="X235" s="71">
        <v>7.1328913999999993E-2</v>
      </c>
      <c r="Y235" s="71">
        <v>7.2418811999999999E-2</v>
      </c>
      <c r="Z235" s="71">
        <v>1.9948746999999999E-2</v>
      </c>
      <c r="AA235" s="71">
        <v>2.2473547999999999E-2</v>
      </c>
      <c r="AB235" s="71">
        <v>2.5517597E-2</v>
      </c>
      <c r="AC235" s="71">
        <v>3.1018546000000001E-2</v>
      </c>
      <c r="AD235" s="71">
        <v>3.6183623999999998E-2</v>
      </c>
      <c r="AE235" s="71">
        <v>3.8822776000000003E-2</v>
      </c>
      <c r="AF235" s="71">
        <v>4.1670116E-2</v>
      </c>
      <c r="AG235" s="71">
        <v>4.6769735999999999E-2</v>
      </c>
      <c r="AH235" s="71">
        <v>4.8637930000000003E-2</v>
      </c>
      <c r="AI235" s="71">
        <v>5.5670847000000002E-2</v>
      </c>
      <c r="AJ235" s="71">
        <v>6.3373684E-2</v>
      </c>
      <c r="AK235" s="71">
        <v>6.6532058000000005E-2</v>
      </c>
      <c r="AL235" s="71">
        <v>6.9314899999999999E-2</v>
      </c>
      <c r="AM235" s="71">
        <v>7.0154538000000002E-2</v>
      </c>
      <c r="AN235" s="71">
        <v>6.5146328000000003E-2</v>
      </c>
      <c r="AO235" s="71">
        <v>0.14476847300000001</v>
      </c>
      <c r="AP235" s="71">
        <v>0.59472903799999999</v>
      </c>
    </row>
    <row r="236" spans="1:42" x14ac:dyDescent="0.2">
      <c r="A236" t="s">
        <v>214</v>
      </c>
      <c r="B236" t="s">
        <v>112</v>
      </c>
      <c r="C236" t="s">
        <v>118</v>
      </c>
      <c r="D236" t="s">
        <v>117</v>
      </c>
      <c r="E236" s="71">
        <v>4.4523238999999999E-2</v>
      </c>
      <c r="F236" s="71">
        <v>4.5062303999999997E-2</v>
      </c>
      <c r="G236" s="71">
        <v>4.6398639999999998E-2</v>
      </c>
      <c r="H236" s="71">
        <v>4.8380852000000002E-2</v>
      </c>
      <c r="I236" s="71">
        <v>4.9795985000000001E-2</v>
      </c>
      <c r="J236" s="71">
        <v>5.0788641000000002E-2</v>
      </c>
      <c r="K236" s="71">
        <v>5.1501392999999999E-2</v>
      </c>
      <c r="L236" s="71">
        <v>2.0422629000000001E-2</v>
      </c>
      <c r="M236" s="71">
        <v>2.3983471999999999E-2</v>
      </c>
      <c r="N236" s="71">
        <v>2.6569822E-2</v>
      </c>
      <c r="O236" s="71">
        <v>2.9193126999999999E-2</v>
      </c>
      <c r="P236" s="71">
        <v>3.1699998E-2</v>
      </c>
      <c r="Q236" s="71">
        <v>3.3743532999999999E-2</v>
      </c>
      <c r="R236" s="71">
        <v>3.5293974999999998E-2</v>
      </c>
      <c r="S236" s="71">
        <v>6.8878045999999998E-2</v>
      </c>
      <c r="T236" s="71">
        <v>6.6770279000000002E-2</v>
      </c>
      <c r="U236" s="71">
        <v>6.6694823E-2</v>
      </c>
      <c r="V236" s="71">
        <v>6.8311579999999997E-2</v>
      </c>
      <c r="W236" s="71">
        <v>6.8527582000000004E-2</v>
      </c>
      <c r="X236" s="71">
        <v>6.8327360000000004E-2</v>
      </c>
      <c r="Y236" s="71">
        <v>6.7978386000000002E-2</v>
      </c>
      <c r="Z236" s="71">
        <v>3.1269379999999999E-2</v>
      </c>
      <c r="AA236" s="71">
        <v>3.1322257999999999E-2</v>
      </c>
      <c r="AB236" s="71">
        <v>3.1317029000000003E-2</v>
      </c>
      <c r="AC236" s="71">
        <v>3.2689792000000002E-2</v>
      </c>
      <c r="AD236" s="71">
        <v>3.4796023000000002E-2</v>
      </c>
      <c r="AE236" s="71">
        <v>3.5917813E-2</v>
      </c>
      <c r="AF236" s="71">
        <v>3.7358454999999999E-2</v>
      </c>
      <c r="AG236" s="71">
        <v>5.7874802000000003E-2</v>
      </c>
      <c r="AH236" s="71">
        <v>5.8916765000000003E-2</v>
      </c>
      <c r="AI236" s="71">
        <v>6.1642225000000002E-2</v>
      </c>
      <c r="AJ236" s="71">
        <v>6.4265819000000002E-2</v>
      </c>
      <c r="AK236" s="71">
        <v>6.4978629999999996E-2</v>
      </c>
      <c r="AL236" s="71">
        <v>6.5844397999999998E-2</v>
      </c>
      <c r="AM236" s="71">
        <v>6.5813451999999995E-2</v>
      </c>
      <c r="AN236" s="71">
        <v>6.5146328000000003E-2</v>
      </c>
      <c r="AO236" s="71">
        <v>0.14476847300000001</v>
      </c>
      <c r="AP236" s="71">
        <v>0.70788556499999999</v>
      </c>
    </row>
    <row r="237" spans="1:42" x14ac:dyDescent="0.2">
      <c r="A237" t="s">
        <v>164</v>
      </c>
      <c r="B237" t="s">
        <v>112</v>
      </c>
      <c r="C237" t="s">
        <v>118</v>
      </c>
      <c r="D237" t="s">
        <v>117</v>
      </c>
      <c r="E237" s="71">
        <v>3.3076047999999997E-2</v>
      </c>
      <c r="F237" s="71">
        <v>3.4004687999999998E-2</v>
      </c>
      <c r="G237" s="71">
        <v>3.6328911999999998E-2</v>
      </c>
      <c r="H237" s="71">
        <v>3.9824723999999999E-2</v>
      </c>
      <c r="I237" s="71">
        <v>4.2356372000000003E-2</v>
      </c>
      <c r="J237" s="71">
        <v>4.4149994999999997E-2</v>
      </c>
      <c r="K237" s="71">
        <v>4.5447229999999998E-2</v>
      </c>
      <c r="L237" s="71">
        <v>9.2454019999999998E-3</v>
      </c>
      <c r="M237" s="71">
        <v>1.2834376999999999E-2</v>
      </c>
      <c r="N237" s="71">
        <v>1.6768676999999999E-2</v>
      </c>
      <c r="O237" s="71">
        <v>2.1080812000000001E-2</v>
      </c>
      <c r="P237" s="71">
        <v>2.4802993999999998E-2</v>
      </c>
      <c r="Q237" s="71">
        <v>2.7849065999999999E-2</v>
      </c>
      <c r="R237" s="71">
        <v>2.9908354000000002E-2</v>
      </c>
      <c r="S237" s="71">
        <v>5.7615951999999998E-2</v>
      </c>
      <c r="T237" s="71">
        <v>5.6128221999999998E-2</v>
      </c>
      <c r="U237" s="71">
        <v>5.6559803999999998E-2</v>
      </c>
      <c r="V237" s="71">
        <v>5.8930836E-2</v>
      </c>
      <c r="W237" s="71">
        <v>5.9972802999999998E-2</v>
      </c>
      <c r="X237" s="71">
        <v>6.0701577999999999E-2</v>
      </c>
      <c r="Y237" s="71">
        <v>6.1180011999999999E-2</v>
      </c>
      <c r="Z237" s="71">
        <v>1.9957585E-2</v>
      </c>
      <c r="AA237" s="71">
        <v>2.1086154999999999E-2</v>
      </c>
      <c r="AB237" s="71">
        <v>2.2381979E-2</v>
      </c>
      <c r="AC237" s="71">
        <v>2.4885465999999998E-2</v>
      </c>
      <c r="AD237" s="71">
        <v>2.7698285999999999E-2</v>
      </c>
      <c r="AE237" s="71">
        <v>3.0664805999999999E-2</v>
      </c>
      <c r="AF237" s="71">
        <v>3.2160863999999997E-2</v>
      </c>
      <c r="AG237" s="71">
        <v>4.6291415000000002E-2</v>
      </c>
      <c r="AH237" s="71">
        <v>4.7019059000000002E-2</v>
      </c>
      <c r="AI237" s="71">
        <v>5.0408244999999997E-2</v>
      </c>
      <c r="AJ237" s="71">
        <v>5.4937646999999999E-2</v>
      </c>
      <c r="AK237" s="71">
        <v>5.7189009999999998E-2</v>
      </c>
      <c r="AL237" s="71">
        <v>5.7783677999999998E-2</v>
      </c>
      <c r="AM237" s="71">
        <v>5.8880903999999998E-2</v>
      </c>
      <c r="AN237" s="71">
        <v>6.5146328000000003E-2</v>
      </c>
      <c r="AO237" s="71">
        <v>0.14476847300000001</v>
      </c>
      <c r="AP237" s="71">
        <v>0.615958597</v>
      </c>
    </row>
    <row r="238" spans="1:42" x14ac:dyDescent="0.2">
      <c r="A238" t="s">
        <v>345</v>
      </c>
      <c r="B238" t="s">
        <v>112</v>
      </c>
      <c r="C238" t="s">
        <v>118</v>
      </c>
      <c r="D238" t="s">
        <v>117</v>
      </c>
      <c r="E238" s="71">
        <v>6.9729923999999999E-2</v>
      </c>
      <c r="F238" s="71">
        <v>7.0114373999999993E-2</v>
      </c>
      <c r="G238" s="71">
        <v>7.0964455999999995E-2</v>
      </c>
      <c r="H238" s="71">
        <v>7.2125076999999996E-2</v>
      </c>
      <c r="I238" s="71">
        <v>7.2903871999999995E-2</v>
      </c>
      <c r="J238" s="71">
        <v>7.3428273000000002E-2</v>
      </c>
      <c r="K238" s="71">
        <v>7.3794961000000006E-2</v>
      </c>
      <c r="L238" s="71">
        <v>4.4864038000000002E-2</v>
      </c>
      <c r="M238" s="71">
        <v>4.7951951999999999E-2</v>
      </c>
      <c r="N238" s="71">
        <v>5.0349382999999998E-2</v>
      </c>
      <c r="O238" s="71">
        <v>5.2957637000000002E-2</v>
      </c>
      <c r="P238" s="71">
        <v>5.4984447999999998E-2</v>
      </c>
      <c r="Q238" s="71">
        <v>5.6534036000000003E-2</v>
      </c>
      <c r="R238" s="71">
        <v>5.8027051000000003E-2</v>
      </c>
      <c r="S238" s="71">
        <v>9.5069374999999998E-2</v>
      </c>
      <c r="T238" s="71">
        <v>9.2553547E-2</v>
      </c>
      <c r="U238" s="71">
        <v>9.1714263000000004E-2</v>
      </c>
      <c r="V238" s="71">
        <v>9.1506802999999998E-2</v>
      </c>
      <c r="W238" s="71">
        <v>9.1129670999999995E-2</v>
      </c>
      <c r="X238" s="71">
        <v>9.0561305999999994E-2</v>
      </c>
      <c r="Y238" s="71">
        <v>8.9865634999999999E-2</v>
      </c>
      <c r="Z238" s="71">
        <v>5.6174099999999998E-2</v>
      </c>
      <c r="AA238" s="71">
        <v>5.7035574999999998E-2</v>
      </c>
      <c r="AB238" s="71">
        <v>5.6524475999999997E-2</v>
      </c>
      <c r="AC238" s="71">
        <v>5.692999E-2</v>
      </c>
      <c r="AD238" s="71">
        <v>5.7833598999999999E-2</v>
      </c>
      <c r="AE238" s="71">
        <v>5.8723464000000003E-2</v>
      </c>
      <c r="AF238" s="71">
        <v>6.0645335000000002E-2</v>
      </c>
      <c r="AG238" s="71">
        <v>8.3385602000000003E-2</v>
      </c>
      <c r="AH238" s="71">
        <v>8.3285439000000003E-2</v>
      </c>
      <c r="AI238" s="71">
        <v>8.5542151999999996E-2</v>
      </c>
      <c r="AJ238" s="71">
        <v>8.7493318E-2</v>
      </c>
      <c r="AK238" s="71">
        <v>8.8153381000000003E-2</v>
      </c>
      <c r="AL238" s="71">
        <v>8.8308458000000006E-2</v>
      </c>
      <c r="AM238" s="71">
        <v>8.7083474999999994E-2</v>
      </c>
      <c r="AN238" s="71">
        <v>6.5146328000000003E-2</v>
      </c>
      <c r="AO238" s="71">
        <v>0.14476847300000001</v>
      </c>
      <c r="AP238" s="71">
        <v>0.58272517199999996</v>
      </c>
    </row>
    <row r="239" spans="1:42" x14ac:dyDescent="0.2">
      <c r="A239" t="s">
        <v>240</v>
      </c>
      <c r="B239" t="s">
        <v>112</v>
      </c>
      <c r="C239" t="s">
        <v>126</v>
      </c>
      <c r="D239" t="s">
        <v>165</v>
      </c>
      <c r="E239" s="71">
        <v>2.5480269999999999E-2</v>
      </c>
      <c r="F239" s="71">
        <v>2.5683165000000001E-2</v>
      </c>
      <c r="G239" s="71">
        <v>2.6171565000000001E-2</v>
      </c>
      <c r="H239" s="71">
        <v>2.6863694E-2</v>
      </c>
      <c r="I239" s="71">
        <v>2.7334213E-2</v>
      </c>
      <c r="J239" s="71">
        <v>2.7652025E-2</v>
      </c>
      <c r="K239" s="71">
        <v>2.7874708000000002E-2</v>
      </c>
      <c r="L239" s="71">
        <v>1.3672213000000001E-2</v>
      </c>
      <c r="M239" s="71">
        <v>1.5289771000000001E-2</v>
      </c>
      <c r="N239" s="71">
        <v>1.6188414000000002E-2</v>
      </c>
      <c r="O239" s="71">
        <v>1.5533946999999999E-2</v>
      </c>
      <c r="P239" s="71">
        <v>1.3922563000000001E-2</v>
      </c>
      <c r="Q239" s="71">
        <v>1.2058701999999999E-2</v>
      </c>
      <c r="R239" s="71">
        <v>1.0057386999999999E-2</v>
      </c>
      <c r="S239" s="71">
        <v>3.7338571000000001E-2</v>
      </c>
      <c r="T239" s="71">
        <v>3.5988077E-2</v>
      </c>
      <c r="U239" s="71">
        <v>3.6257794000000003E-2</v>
      </c>
      <c r="V239" s="71">
        <v>3.8233204E-2</v>
      </c>
      <c r="W239" s="71">
        <v>4.1048788000000003E-2</v>
      </c>
      <c r="X239" s="71">
        <v>4.3670477999999999E-2</v>
      </c>
      <c r="Y239" s="71">
        <v>4.5854929000000003E-2</v>
      </c>
      <c r="Z239" s="71">
        <v>2.1640899000000002E-2</v>
      </c>
      <c r="AA239" s="71">
        <v>2.1407872000000001E-2</v>
      </c>
      <c r="AB239" s="71">
        <v>1.9921069999999999E-2</v>
      </c>
      <c r="AC239" s="71">
        <v>1.7348327E-2</v>
      </c>
      <c r="AD239" s="71">
        <v>1.5246641999999999E-2</v>
      </c>
      <c r="AE239" s="71">
        <v>1.3645832E-2</v>
      </c>
      <c r="AF239" s="71">
        <v>1.1883556E-2</v>
      </c>
      <c r="AG239" s="71">
        <v>2.9334257999999998E-2</v>
      </c>
      <c r="AH239" s="71">
        <v>2.9976490000000001E-2</v>
      </c>
      <c r="AI239" s="71">
        <v>3.2460527000000003E-2</v>
      </c>
      <c r="AJ239" s="71">
        <v>3.6468287000000002E-2</v>
      </c>
      <c r="AK239" s="71">
        <v>3.9565659000000003E-2</v>
      </c>
      <c r="AL239" s="71">
        <v>4.1851883999999999E-2</v>
      </c>
      <c r="AM239" s="71">
        <v>4.4118480000000002E-2</v>
      </c>
      <c r="AN239" s="71">
        <v>3.5717971000000001E-2</v>
      </c>
      <c r="AO239" s="71">
        <v>0.92203510700000002</v>
      </c>
      <c r="AP239" s="71">
        <v>5.0300725999999997E-2</v>
      </c>
    </row>
    <row r="240" spans="1:42" x14ac:dyDescent="0.2">
      <c r="A240" t="s">
        <v>224</v>
      </c>
      <c r="B240" t="s">
        <v>112</v>
      </c>
      <c r="C240" t="s">
        <v>126</v>
      </c>
      <c r="D240" t="s">
        <v>165</v>
      </c>
      <c r="E240" s="71">
        <v>3.9743185E-2</v>
      </c>
      <c r="F240" s="71">
        <v>3.9478897999999998E-2</v>
      </c>
      <c r="G240" s="71">
        <v>3.8728475999999998E-2</v>
      </c>
      <c r="H240" s="71">
        <v>3.7387848000000001E-2</v>
      </c>
      <c r="I240" s="71">
        <v>3.6241055000000001E-2</v>
      </c>
      <c r="J240" s="71">
        <v>3.5326004000000001E-2</v>
      </c>
      <c r="K240" s="71">
        <v>3.4607171999999999E-2</v>
      </c>
      <c r="L240" s="71">
        <v>2.7918370000000001E-2</v>
      </c>
      <c r="M240" s="71">
        <v>2.9181014000000002E-2</v>
      </c>
      <c r="N240" s="71">
        <v>2.9147721000000001E-2</v>
      </c>
      <c r="O240" s="71">
        <v>2.8012921E-2</v>
      </c>
      <c r="P240" s="71">
        <v>2.7148963000000002E-2</v>
      </c>
      <c r="Q240" s="71">
        <v>2.6538530000000001E-2</v>
      </c>
      <c r="R240" s="71">
        <v>2.5955863999999999E-2</v>
      </c>
      <c r="S240" s="71">
        <v>5.1776529000000002E-2</v>
      </c>
      <c r="T240" s="71">
        <v>5.0026660000000001E-2</v>
      </c>
      <c r="U240" s="71">
        <v>4.8372733000000001E-2</v>
      </c>
      <c r="V240" s="71">
        <v>4.6893801999999998E-2</v>
      </c>
      <c r="W240" s="71">
        <v>4.5484862000000001E-2</v>
      </c>
      <c r="X240" s="71">
        <v>4.4295756999999998E-2</v>
      </c>
      <c r="Y240" s="71">
        <v>4.3414809999999998E-2</v>
      </c>
      <c r="Z240" s="71">
        <v>3.5892697000000001E-2</v>
      </c>
      <c r="AA240" s="71">
        <v>3.5421774000000003E-2</v>
      </c>
      <c r="AB240" s="71">
        <v>3.3421771000000003E-2</v>
      </c>
      <c r="AC240" s="71">
        <v>3.0872108999999998E-2</v>
      </c>
      <c r="AD240" s="71">
        <v>2.9055357E-2</v>
      </c>
      <c r="AE240" s="71">
        <v>2.8152567999999999E-2</v>
      </c>
      <c r="AF240" s="71">
        <v>2.7166468999999999E-2</v>
      </c>
      <c r="AG240" s="71">
        <v>4.3608079000000001E-2</v>
      </c>
      <c r="AH240" s="71">
        <v>4.3551975E-2</v>
      </c>
      <c r="AI240" s="71">
        <v>4.4062764999999997E-2</v>
      </c>
      <c r="AJ240" s="71">
        <v>4.3944902000000001E-2</v>
      </c>
      <c r="AK240" s="71">
        <v>4.3477113999999997E-2</v>
      </c>
      <c r="AL240" s="71">
        <v>4.2549719999999999E-2</v>
      </c>
      <c r="AM240" s="71">
        <v>4.2101803E-2</v>
      </c>
      <c r="AN240" s="71">
        <v>3.5717971000000001E-2</v>
      </c>
      <c r="AO240" s="71">
        <v>0.95241051899999996</v>
      </c>
      <c r="AP240" s="71">
        <v>4.6050542E-2</v>
      </c>
    </row>
    <row r="241" spans="1:42" x14ac:dyDescent="0.2">
      <c r="A241" t="s">
        <v>200</v>
      </c>
      <c r="B241" t="s">
        <v>112</v>
      </c>
      <c r="C241" t="s">
        <v>126</v>
      </c>
      <c r="D241" t="s">
        <v>165</v>
      </c>
      <c r="E241" s="71">
        <v>1.0191321E-2</v>
      </c>
      <c r="F241" s="71">
        <v>1.0766983000000001E-2</v>
      </c>
      <c r="G241" s="71">
        <v>1.19735E-2</v>
      </c>
      <c r="H241" s="71">
        <v>1.3435602E-2</v>
      </c>
      <c r="I241" s="71">
        <v>1.4325619E-2</v>
      </c>
      <c r="J241" s="71">
        <v>1.4898419E-2</v>
      </c>
      <c r="K241" s="71">
        <v>1.5291333000000001E-2</v>
      </c>
      <c r="L241" s="71">
        <v>-1.0403299999999999E-3</v>
      </c>
      <c r="M241" s="71">
        <v>9.0032600000000001E-4</v>
      </c>
      <c r="N241" s="71">
        <v>2.7542729999999998E-3</v>
      </c>
      <c r="O241" s="71">
        <v>5.2206609999999997E-3</v>
      </c>
      <c r="P241" s="71">
        <v>6.6734899999999998E-3</v>
      </c>
      <c r="Q241" s="71">
        <v>7.6306739999999996E-3</v>
      </c>
      <c r="R241" s="71">
        <v>8.5092880000000003E-3</v>
      </c>
      <c r="S241" s="71">
        <v>2.1543521999999999E-2</v>
      </c>
      <c r="T241" s="71">
        <v>2.0850049999999998E-2</v>
      </c>
      <c r="U241" s="71">
        <v>2.1121033000000001E-2</v>
      </c>
      <c r="V241" s="71">
        <v>2.1857835999999999E-2</v>
      </c>
      <c r="W241" s="71">
        <v>2.2086034000000001E-2</v>
      </c>
      <c r="X241" s="71">
        <v>2.2123730000000001E-2</v>
      </c>
      <c r="Y241" s="71">
        <v>2.2079074000000001E-2</v>
      </c>
      <c r="Z241" s="71">
        <v>6.5602439999999998E-3</v>
      </c>
      <c r="AA241" s="71">
        <v>6.817165E-3</v>
      </c>
      <c r="AB241" s="71">
        <v>6.9577090000000003E-3</v>
      </c>
      <c r="AC241" s="71">
        <v>8.1402169999999999E-3</v>
      </c>
      <c r="AD241" s="71">
        <v>8.9630779999999993E-3</v>
      </c>
      <c r="AE241" s="71">
        <v>9.5696989999999992E-3</v>
      </c>
      <c r="AF241" s="71">
        <v>1.0109318000000001E-2</v>
      </c>
      <c r="AG241" s="71">
        <v>1.3818699E-2</v>
      </c>
      <c r="AH241" s="71">
        <v>1.4716524E-2</v>
      </c>
      <c r="AI241" s="71">
        <v>1.7000574000000001E-2</v>
      </c>
      <c r="AJ241" s="71">
        <v>1.8748395000000001E-2</v>
      </c>
      <c r="AK241" s="71">
        <v>1.9708521999999999E-2</v>
      </c>
      <c r="AL241" s="71">
        <v>2.0248718999999998E-2</v>
      </c>
      <c r="AM241" s="71">
        <v>2.0494407999999999E-2</v>
      </c>
      <c r="AN241" s="71">
        <v>3.5717971000000001E-2</v>
      </c>
      <c r="AO241" s="71">
        <v>0.96045395</v>
      </c>
      <c r="AP241" s="71">
        <v>5.4342618000000002E-2</v>
      </c>
    </row>
    <row r="242" spans="1:42" x14ac:dyDescent="0.2">
      <c r="A242" t="s">
        <v>259</v>
      </c>
      <c r="B242" t="s">
        <v>112</v>
      </c>
      <c r="C242" t="s">
        <v>126</v>
      </c>
      <c r="D242" t="s">
        <v>165</v>
      </c>
      <c r="E242" s="71">
        <v>5.925179E-3</v>
      </c>
      <c r="F242" s="71">
        <v>7.1777109999999998E-3</v>
      </c>
      <c r="G242" s="71">
        <v>9.9767450000000004E-3</v>
      </c>
      <c r="H242" s="71">
        <v>1.3567924E-2</v>
      </c>
      <c r="I242" s="71">
        <v>1.5802026E-2</v>
      </c>
      <c r="J242" s="71">
        <v>1.7238020999999999E-2</v>
      </c>
      <c r="K242" s="71">
        <v>1.8218160000000001E-2</v>
      </c>
      <c r="L242" s="71">
        <v>-5.5396300000000002E-3</v>
      </c>
      <c r="M242" s="71">
        <v>-2.6767029999999999E-3</v>
      </c>
      <c r="N242" s="71">
        <v>6.2802699999999997E-4</v>
      </c>
      <c r="O242" s="71">
        <v>4.8601879999999997E-3</v>
      </c>
      <c r="P242" s="71">
        <v>7.5094259999999996E-3</v>
      </c>
      <c r="Q242" s="71">
        <v>9.4710220000000008E-3</v>
      </c>
      <c r="R242" s="71">
        <v>1.0728384000000001E-2</v>
      </c>
      <c r="S242" s="71">
        <v>1.7572051000000002E-2</v>
      </c>
      <c r="T242" s="71">
        <v>1.7184099000000001E-2</v>
      </c>
      <c r="U242" s="71">
        <v>1.9216971999999999E-2</v>
      </c>
      <c r="V242" s="71">
        <v>2.2453642999999999E-2</v>
      </c>
      <c r="W242" s="71">
        <v>2.4310498E-2</v>
      </c>
      <c r="X242" s="71">
        <v>2.5225105000000001E-2</v>
      </c>
      <c r="Y242" s="71">
        <v>2.5705502000000002E-2</v>
      </c>
      <c r="Z242" s="71">
        <v>2.2891529999999999E-3</v>
      </c>
      <c r="AA242" s="71">
        <v>3.0350220000000001E-3</v>
      </c>
      <c r="AB242" s="71">
        <v>4.6552310000000001E-3</v>
      </c>
      <c r="AC242" s="71">
        <v>7.3148609999999998E-3</v>
      </c>
      <c r="AD242" s="71">
        <v>9.7861819999999992E-3</v>
      </c>
      <c r="AE242" s="71">
        <v>1.1478970999999999E-2</v>
      </c>
      <c r="AF242" s="71">
        <v>1.2595767000000001E-2</v>
      </c>
      <c r="AG242" s="71">
        <v>9.5581109999999993E-3</v>
      </c>
      <c r="AH242" s="71">
        <v>1.1321836E-2</v>
      </c>
      <c r="AI242" s="71">
        <v>1.5313011E-2</v>
      </c>
      <c r="AJ242" s="71">
        <v>1.9849571E-2</v>
      </c>
      <c r="AK242" s="71">
        <v>2.1845914000000001E-2</v>
      </c>
      <c r="AL242" s="71">
        <v>2.3023500999999998E-2</v>
      </c>
      <c r="AM242" s="71">
        <v>2.3866493999999999E-2</v>
      </c>
      <c r="AN242" s="71">
        <v>3.5717971000000001E-2</v>
      </c>
      <c r="AO242" s="71">
        <v>0.96123887600000002</v>
      </c>
      <c r="AP242" s="71">
        <v>4.6815309999999999E-2</v>
      </c>
    </row>
    <row r="243" spans="1:42" x14ac:dyDescent="0.2">
      <c r="A243" t="s">
        <v>288</v>
      </c>
      <c r="B243" t="s">
        <v>112</v>
      </c>
      <c r="C243" t="s">
        <v>126</v>
      </c>
      <c r="D243" t="s">
        <v>165</v>
      </c>
      <c r="E243" s="71">
        <v>4.0175438000000001E-2</v>
      </c>
      <c r="F243" s="71">
        <v>4.0394424999999998E-2</v>
      </c>
      <c r="G243" s="71">
        <v>4.0911674000000002E-2</v>
      </c>
      <c r="H243" s="71">
        <v>4.1633964000000002E-2</v>
      </c>
      <c r="I243" s="71">
        <v>4.2121529999999997E-2</v>
      </c>
      <c r="J243" s="71">
        <v>4.2450427999999998E-2</v>
      </c>
      <c r="K243" s="71">
        <v>4.2680502000000002E-2</v>
      </c>
      <c r="L243" s="71">
        <v>2.8470848E-2</v>
      </c>
      <c r="M243" s="71">
        <v>3.0274100000000002E-2</v>
      </c>
      <c r="N243" s="71">
        <v>3.1833740999999999E-2</v>
      </c>
      <c r="O243" s="71">
        <v>3.3572295000000002E-2</v>
      </c>
      <c r="P243" s="71">
        <v>3.4724969000000001E-2</v>
      </c>
      <c r="Q243" s="71">
        <v>3.5531237E-2</v>
      </c>
      <c r="R243" s="71">
        <v>3.6117784E-2</v>
      </c>
      <c r="S243" s="71">
        <v>5.2108296999999998E-2</v>
      </c>
      <c r="T243" s="71">
        <v>5.0810318E-2</v>
      </c>
      <c r="U243" s="71">
        <v>5.0083955999999999E-2</v>
      </c>
      <c r="V243" s="71">
        <v>4.9722778000000002E-2</v>
      </c>
      <c r="W243" s="71">
        <v>4.9648716000000002E-2</v>
      </c>
      <c r="X243" s="71">
        <v>4.9488736999999998E-2</v>
      </c>
      <c r="Y243" s="71">
        <v>4.9293352999999998E-2</v>
      </c>
      <c r="Z243" s="71">
        <v>3.6340821000000002E-2</v>
      </c>
      <c r="AA243" s="71">
        <v>3.6419561000000003E-2</v>
      </c>
      <c r="AB243" s="71">
        <v>3.6280214999999998E-2</v>
      </c>
      <c r="AC243" s="71">
        <v>3.6501321000000003E-2</v>
      </c>
      <c r="AD243" s="71">
        <v>3.7001975999999999E-2</v>
      </c>
      <c r="AE243" s="71">
        <v>3.7364486000000002E-2</v>
      </c>
      <c r="AF243" s="71">
        <v>3.7784835000000003E-2</v>
      </c>
      <c r="AG243" s="71">
        <v>4.4006852999999999E-2</v>
      </c>
      <c r="AH243" s="71">
        <v>4.4368367999999998E-2</v>
      </c>
      <c r="AI243" s="71">
        <v>4.5549937999999998E-2</v>
      </c>
      <c r="AJ243" s="71">
        <v>4.67816E-2</v>
      </c>
      <c r="AK243" s="71">
        <v>4.7258263000000002E-2</v>
      </c>
      <c r="AL243" s="71">
        <v>4.7554574000000002E-2</v>
      </c>
      <c r="AM243" s="71">
        <v>4.7593591999999997E-2</v>
      </c>
      <c r="AN243" s="71">
        <v>3.5717971000000001E-2</v>
      </c>
      <c r="AO243" s="71">
        <v>0.96123887600000002</v>
      </c>
      <c r="AP243" s="71">
        <v>-8.1279749999999998E-2</v>
      </c>
    </row>
    <row r="244" spans="1:42" x14ac:dyDescent="0.2">
      <c r="A244" t="s">
        <v>178</v>
      </c>
      <c r="B244" t="s">
        <v>112</v>
      </c>
      <c r="C244" t="s">
        <v>126</v>
      </c>
      <c r="D244" t="s">
        <v>165</v>
      </c>
      <c r="E244" s="71">
        <v>3.6011815000000003E-2</v>
      </c>
      <c r="F244" s="71">
        <v>3.6789655999999997E-2</v>
      </c>
      <c r="G244" s="71">
        <v>3.8348436E-2</v>
      </c>
      <c r="H244" s="71">
        <v>4.0152431000000002E-2</v>
      </c>
      <c r="I244" s="71">
        <v>4.1220187999999998E-2</v>
      </c>
      <c r="J244" s="71">
        <v>4.1900277E-2</v>
      </c>
      <c r="K244" s="71">
        <v>4.2364955000000003E-2</v>
      </c>
      <c r="L244" s="71">
        <v>2.4366921E-2</v>
      </c>
      <c r="M244" s="71">
        <v>2.6578316000000001E-2</v>
      </c>
      <c r="N244" s="71">
        <v>2.8724613999999999E-2</v>
      </c>
      <c r="O244" s="71">
        <v>3.1351257E-2</v>
      </c>
      <c r="P244" s="71">
        <v>3.3111936000000002E-2</v>
      </c>
      <c r="Q244" s="71">
        <v>3.4229049999999997E-2</v>
      </c>
      <c r="R244" s="71">
        <v>3.5172006999999998E-2</v>
      </c>
      <c r="S244" s="71">
        <v>4.7695041000000001E-2</v>
      </c>
      <c r="T244" s="71">
        <v>4.7128397000000002E-2</v>
      </c>
      <c r="U244" s="71">
        <v>4.8094756000000002E-2</v>
      </c>
      <c r="V244" s="71">
        <v>4.9131548999999997E-2</v>
      </c>
      <c r="W244" s="71">
        <v>4.9473994E-2</v>
      </c>
      <c r="X244" s="71">
        <v>4.9719214999999997E-2</v>
      </c>
      <c r="Y244" s="71">
        <v>4.9632646000000002E-2</v>
      </c>
      <c r="Z244" s="71">
        <v>3.2231334E-2</v>
      </c>
      <c r="AA244" s="71">
        <v>3.2373806999999998E-2</v>
      </c>
      <c r="AB244" s="71">
        <v>3.2489535999999999E-2</v>
      </c>
      <c r="AC244" s="71">
        <v>3.3912372000000003E-2</v>
      </c>
      <c r="AD244" s="71">
        <v>3.5079997000000002E-2</v>
      </c>
      <c r="AE244" s="71">
        <v>3.6182354999999999E-2</v>
      </c>
      <c r="AF244" s="71">
        <v>3.6873787999999998E-2</v>
      </c>
      <c r="AG244" s="71">
        <v>3.9806451999999999E-2</v>
      </c>
      <c r="AH244" s="71">
        <v>4.1224566999999997E-2</v>
      </c>
      <c r="AI244" s="71">
        <v>4.4240777000000002E-2</v>
      </c>
      <c r="AJ244" s="71">
        <v>4.6430193000000002E-2</v>
      </c>
      <c r="AK244" s="71">
        <v>4.7396668000000003E-2</v>
      </c>
      <c r="AL244" s="71">
        <v>4.7649649000000002E-2</v>
      </c>
      <c r="AM244" s="71">
        <v>4.7885069000000002E-2</v>
      </c>
      <c r="AN244" s="71">
        <v>3.5717971000000001E-2</v>
      </c>
      <c r="AO244" s="71">
        <v>0.96123887600000002</v>
      </c>
      <c r="AP244" s="71">
        <v>-0.10052831299999999</v>
      </c>
    </row>
    <row r="245" spans="1:42" x14ac:dyDescent="0.2">
      <c r="A245" t="s">
        <v>254</v>
      </c>
      <c r="B245" t="s">
        <v>112</v>
      </c>
      <c r="C245" t="s">
        <v>126</v>
      </c>
      <c r="D245" t="s">
        <v>165</v>
      </c>
      <c r="E245" s="71">
        <v>2.0807624E-2</v>
      </c>
      <c r="F245" s="71">
        <v>2.2877455000000001E-2</v>
      </c>
      <c r="G245" s="71">
        <v>2.7575611999999999E-2</v>
      </c>
      <c r="H245" s="71">
        <v>3.3720015999999998E-2</v>
      </c>
      <c r="I245" s="71">
        <v>3.7598490999999998E-2</v>
      </c>
      <c r="J245" s="71">
        <v>4.0107249999999997E-2</v>
      </c>
      <c r="K245" s="71">
        <v>4.1823983000000002E-2</v>
      </c>
      <c r="L245" s="71">
        <v>9.5138749999999998E-3</v>
      </c>
      <c r="M245" s="71">
        <v>1.2801966999999999E-2</v>
      </c>
      <c r="N245" s="71">
        <v>1.8226188000000001E-2</v>
      </c>
      <c r="O245" s="71">
        <v>2.4672797E-2</v>
      </c>
      <c r="P245" s="71">
        <v>2.8990291000000001E-2</v>
      </c>
      <c r="Q245" s="71">
        <v>3.2014816000000001E-2</v>
      </c>
      <c r="R245" s="71">
        <v>3.4193475000000001E-2</v>
      </c>
      <c r="S245" s="71">
        <v>3.2675799999999998E-2</v>
      </c>
      <c r="T245" s="71">
        <v>3.3146229999999999E-2</v>
      </c>
      <c r="U245" s="71">
        <v>3.7298858999999997E-2</v>
      </c>
      <c r="V245" s="71">
        <v>4.2956703999999998E-2</v>
      </c>
      <c r="W245" s="71">
        <v>4.6151667E-2</v>
      </c>
      <c r="X245" s="71">
        <v>4.8179360999999997E-2</v>
      </c>
      <c r="Y245" s="71">
        <v>4.9484651999999997E-2</v>
      </c>
      <c r="Z245" s="71">
        <v>1.7034160999999999E-2</v>
      </c>
      <c r="AA245" s="71">
        <v>1.8794464E-2</v>
      </c>
      <c r="AB245" s="71">
        <v>2.2230384999999998E-2</v>
      </c>
      <c r="AC245" s="71">
        <v>2.7361937999999999E-2</v>
      </c>
      <c r="AD245" s="71">
        <v>3.0892434999999999E-2</v>
      </c>
      <c r="AE245" s="71">
        <v>3.3693623999999998E-2</v>
      </c>
      <c r="AF245" s="71">
        <v>3.5531148999999998E-2</v>
      </c>
      <c r="AG245" s="71">
        <v>2.4595156E-2</v>
      </c>
      <c r="AH245" s="71">
        <v>2.6976885999999999E-2</v>
      </c>
      <c r="AI245" s="71">
        <v>3.2949060000000002E-2</v>
      </c>
      <c r="AJ245" s="71">
        <v>4.0117648999999998E-2</v>
      </c>
      <c r="AK245" s="71">
        <v>4.4348271000000002E-2</v>
      </c>
      <c r="AL245" s="71">
        <v>4.6560799E-2</v>
      </c>
      <c r="AM245" s="71">
        <v>4.8155082000000002E-2</v>
      </c>
      <c r="AN245" s="71">
        <v>3.5717971000000001E-2</v>
      </c>
      <c r="AO245" s="71">
        <v>0.96123887600000002</v>
      </c>
      <c r="AP245" s="71">
        <v>-9.8801059999999996E-3</v>
      </c>
    </row>
    <row r="246" spans="1:42" x14ac:dyDescent="0.2">
      <c r="A246" t="s">
        <v>214</v>
      </c>
      <c r="B246" t="s">
        <v>112</v>
      </c>
      <c r="C246" t="s">
        <v>126</v>
      </c>
      <c r="D246" t="s">
        <v>165</v>
      </c>
      <c r="E246" s="71">
        <v>3.1160355000000001E-2</v>
      </c>
      <c r="F246" s="71">
        <v>3.1587124000000001E-2</v>
      </c>
      <c r="G246" s="71">
        <v>3.2652378000000003E-2</v>
      </c>
      <c r="H246" s="71">
        <v>3.4248114000000003E-2</v>
      </c>
      <c r="I246" s="71">
        <v>3.5399317999999999E-2</v>
      </c>
      <c r="J246" s="71">
        <v>3.6212564000000003E-2</v>
      </c>
      <c r="K246" s="71">
        <v>3.6799312000000001E-2</v>
      </c>
      <c r="L246" s="71">
        <v>1.9439615E-2</v>
      </c>
      <c r="M246" s="71">
        <v>2.1294619000000001E-2</v>
      </c>
      <c r="N246" s="71">
        <v>2.3018976E-2</v>
      </c>
      <c r="O246" s="71">
        <v>2.4908578000000001E-2</v>
      </c>
      <c r="P246" s="71">
        <v>2.6182655999999999E-2</v>
      </c>
      <c r="Q246" s="71">
        <v>2.7282168999999998E-2</v>
      </c>
      <c r="R246" s="71">
        <v>2.8209976000000001E-2</v>
      </c>
      <c r="S246" s="71">
        <v>4.2987346000000003E-2</v>
      </c>
      <c r="T246" s="71">
        <v>4.1924861000000001E-2</v>
      </c>
      <c r="U246" s="71">
        <v>4.2538167000000002E-2</v>
      </c>
      <c r="V246" s="71">
        <v>4.3732042999999998E-2</v>
      </c>
      <c r="W246" s="71">
        <v>4.4703218000000003E-2</v>
      </c>
      <c r="X246" s="71">
        <v>4.5242562E-2</v>
      </c>
      <c r="Y246" s="71">
        <v>4.5488770999999997E-2</v>
      </c>
      <c r="Z246" s="71">
        <v>2.7375566E-2</v>
      </c>
      <c r="AA246" s="71">
        <v>2.7354498000000001E-2</v>
      </c>
      <c r="AB246" s="71">
        <v>2.7196240999999999E-2</v>
      </c>
      <c r="AC246" s="71">
        <v>2.7266423000000001E-2</v>
      </c>
      <c r="AD246" s="71">
        <v>2.8028965999999999E-2</v>
      </c>
      <c r="AE246" s="71">
        <v>2.8963969999999999E-2</v>
      </c>
      <c r="AF246" s="71">
        <v>2.9595910999999999E-2</v>
      </c>
      <c r="AG246" s="71">
        <v>3.4941914999999997E-2</v>
      </c>
      <c r="AH246" s="71">
        <v>3.5820881999999998E-2</v>
      </c>
      <c r="AI246" s="71">
        <v>3.8123487999999997E-2</v>
      </c>
      <c r="AJ246" s="71">
        <v>4.1266783000000001E-2</v>
      </c>
      <c r="AK246" s="71">
        <v>4.2814075E-2</v>
      </c>
      <c r="AL246" s="71">
        <v>4.3505245999999997E-2</v>
      </c>
      <c r="AM246" s="71">
        <v>4.4047577999999997E-2</v>
      </c>
      <c r="AN246" s="71">
        <v>3.5717971000000001E-2</v>
      </c>
      <c r="AO246" s="71">
        <v>0.96123887600000002</v>
      </c>
      <c r="AP246" s="71">
        <v>7.6673522999999993E-2</v>
      </c>
    </row>
    <row r="247" spans="1:42" x14ac:dyDescent="0.2">
      <c r="A247" t="s">
        <v>164</v>
      </c>
      <c r="B247" t="s">
        <v>112</v>
      </c>
      <c r="C247" t="s">
        <v>126</v>
      </c>
      <c r="D247" t="s">
        <v>165</v>
      </c>
      <c r="E247" s="71">
        <v>2.1129130999999999E-2</v>
      </c>
      <c r="F247" s="71">
        <v>2.1942854000000001E-2</v>
      </c>
      <c r="G247" s="71">
        <v>2.3988247000000001E-2</v>
      </c>
      <c r="H247" s="71">
        <v>2.7084707999999999E-2</v>
      </c>
      <c r="I247" s="71">
        <v>2.9341935999999999E-2</v>
      </c>
      <c r="J247" s="71">
        <v>3.0948400000000001E-2</v>
      </c>
      <c r="K247" s="71">
        <v>3.2113551999999997E-2</v>
      </c>
      <c r="L247" s="71">
        <v>9.3353670000000007E-3</v>
      </c>
      <c r="M247" s="71">
        <v>1.2067919E-2</v>
      </c>
      <c r="N247" s="71">
        <v>1.5290526E-2</v>
      </c>
      <c r="O247" s="71">
        <v>1.9179903000000002E-2</v>
      </c>
      <c r="P247" s="71">
        <v>2.2063949999999999E-2</v>
      </c>
      <c r="Q247" s="71">
        <v>2.4148520999999999E-2</v>
      </c>
      <c r="R247" s="71">
        <v>2.5774366E-2</v>
      </c>
      <c r="S247" s="71">
        <v>3.2825566E-2</v>
      </c>
      <c r="T247" s="71">
        <v>3.2059101E-2</v>
      </c>
      <c r="U247" s="71">
        <v>3.2918045E-2</v>
      </c>
      <c r="V247" s="71">
        <v>3.5057965000000003E-2</v>
      </c>
      <c r="W247" s="71">
        <v>3.6626168000000001E-2</v>
      </c>
      <c r="X247" s="71">
        <v>3.7689001999999999E-2</v>
      </c>
      <c r="Y247" s="71">
        <v>3.8451364000000002E-2</v>
      </c>
      <c r="Z247" s="71">
        <v>1.7336509E-2</v>
      </c>
      <c r="AA247" s="71">
        <v>1.8110368000000002E-2</v>
      </c>
      <c r="AB247" s="71">
        <v>1.9734082999999999E-2</v>
      </c>
      <c r="AC247" s="71">
        <v>2.2231040000000001E-2</v>
      </c>
      <c r="AD247" s="71">
        <v>2.4481071E-2</v>
      </c>
      <c r="AE247" s="71">
        <v>2.6203885999999999E-2</v>
      </c>
      <c r="AF247" s="71">
        <v>2.7537954999999999E-2</v>
      </c>
      <c r="AG247" s="71">
        <v>2.4919015999999999E-2</v>
      </c>
      <c r="AH247" s="71">
        <v>2.5773625000000001E-2</v>
      </c>
      <c r="AI247" s="71">
        <v>2.8246383E-2</v>
      </c>
      <c r="AJ247" s="71">
        <v>3.1951009000000002E-2</v>
      </c>
      <c r="AK247" s="71">
        <v>3.4217642E-2</v>
      </c>
      <c r="AL247" s="71">
        <v>3.5708258E-2</v>
      </c>
      <c r="AM247" s="71">
        <v>3.6704117000000001E-2</v>
      </c>
      <c r="AN247" s="71">
        <v>3.5717971000000001E-2</v>
      </c>
      <c r="AO247" s="71">
        <v>0.96123887600000002</v>
      </c>
      <c r="AP247" s="71">
        <v>-4.1612929999999999E-3</v>
      </c>
    </row>
    <row r="248" spans="1:42" x14ac:dyDescent="0.2">
      <c r="A248" t="s">
        <v>345</v>
      </c>
      <c r="B248" t="s">
        <v>112</v>
      </c>
      <c r="C248" t="s">
        <v>126</v>
      </c>
      <c r="D248" t="s">
        <v>165</v>
      </c>
      <c r="E248" s="71">
        <v>5.7711482000000001E-2</v>
      </c>
      <c r="F248" s="71">
        <v>5.7983993999999997E-2</v>
      </c>
      <c r="G248" s="71">
        <v>5.8564663000000003E-2</v>
      </c>
      <c r="H248" s="71">
        <v>5.9343815000000001E-2</v>
      </c>
      <c r="I248" s="71">
        <v>5.986321E-2</v>
      </c>
      <c r="J248" s="71">
        <v>6.0212254999999999E-2</v>
      </c>
      <c r="K248" s="71">
        <v>6.0455917999999997E-2</v>
      </c>
      <c r="L248" s="71">
        <v>4.5543896E-2</v>
      </c>
      <c r="M248" s="71">
        <v>4.7417221000000002E-2</v>
      </c>
      <c r="N248" s="71">
        <v>4.9197379999999999E-2</v>
      </c>
      <c r="O248" s="71">
        <v>5.1186377999999998E-2</v>
      </c>
      <c r="P248" s="71">
        <v>5.2271636000000003E-2</v>
      </c>
      <c r="Q248" s="71">
        <v>5.3135509999999997E-2</v>
      </c>
      <c r="R248" s="71">
        <v>5.3882232000000002E-2</v>
      </c>
      <c r="S248" s="71">
        <v>6.9963773000000007E-2</v>
      </c>
      <c r="T248" s="71">
        <v>6.8623143999999997E-2</v>
      </c>
      <c r="U248" s="71">
        <v>6.7974133000000006E-2</v>
      </c>
      <c r="V248" s="71">
        <v>6.7531929000000004E-2</v>
      </c>
      <c r="W248" s="71">
        <v>6.7443462999999995E-2</v>
      </c>
      <c r="X248" s="71">
        <v>6.7265743000000003E-2</v>
      </c>
      <c r="Y248" s="71">
        <v>6.6994142000000007E-2</v>
      </c>
      <c r="Z248" s="71">
        <v>5.3686831999999997E-2</v>
      </c>
      <c r="AA248" s="71">
        <v>5.3729604E-2</v>
      </c>
      <c r="AB248" s="71">
        <v>5.3907571000000001E-2</v>
      </c>
      <c r="AC248" s="71">
        <v>5.4556753999999999E-2</v>
      </c>
      <c r="AD248" s="71">
        <v>5.5062262000000001E-2</v>
      </c>
      <c r="AE248" s="71">
        <v>5.5458604000000002E-2</v>
      </c>
      <c r="AF248" s="71">
        <v>5.5872027999999997E-2</v>
      </c>
      <c r="AG248" s="71">
        <v>6.1734188000000002E-2</v>
      </c>
      <c r="AH248" s="71">
        <v>6.2239173000000002E-2</v>
      </c>
      <c r="AI248" s="71">
        <v>6.3228464999999998E-2</v>
      </c>
      <c r="AJ248" s="71">
        <v>6.4142035E-2</v>
      </c>
      <c r="AK248" s="71">
        <v>6.4677727000000004E-2</v>
      </c>
      <c r="AL248" s="71">
        <v>6.4980385000000002E-2</v>
      </c>
      <c r="AM248" s="71">
        <v>6.5054148000000006E-2</v>
      </c>
      <c r="AN248" s="71">
        <v>3.5717971000000001E-2</v>
      </c>
      <c r="AO248" s="71">
        <v>0.96123887600000002</v>
      </c>
      <c r="AP248" s="71">
        <v>1.7040429999999999E-2</v>
      </c>
    </row>
    <row r="249" spans="1:42" x14ac:dyDescent="0.2">
      <c r="A249" t="s">
        <v>138</v>
      </c>
      <c r="B249" t="s">
        <v>112</v>
      </c>
      <c r="C249" t="s">
        <v>381</v>
      </c>
      <c r="D249" t="s">
        <v>165</v>
      </c>
      <c r="E249" s="71">
        <v>4.1957974000000002E-2</v>
      </c>
      <c r="F249" s="71">
        <v>4.1981338999999999E-2</v>
      </c>
      <c r="G249" s="75">
        <v>4.1982054999999997E-2</v>
      </c>
      <c r="H249" s="71">
        <v>4.1848539999999997E-2</v>
      </c>
      <c r="I249" s="71">
        <v>4.1643619999999999E-2</v>
      </c>
      <c r="J249" s="71">
        <v>4.1437386999999999E-2</v>
      </c>
      <c r="K249" s="71">
        <v>4.1255236000000001E-2</v>
      </c>
      <c r="L249" s="71">
        <v>3.0181418000000002E-2</v>
      </c>
      <c r="M249" s="71">
        <v>3.1311750999999999E-2</v>
      </c>
      <c r="N249" s="71">
        <v>3.1239099999999999E-2</v>
      </c>
      <c r="O249" s="71">
        <v>3.0021775000000001E-2</v>
      </c>
      <c r="P249" s="71">
        <v>2.9576725000000002E-2</v>
      </c>
      <c r="Q249" s="71">
        <v>2.9372527999999998E-2</v>
      </c>
      <c r="R249" s="71">
        <v>2.9270116999999998E-2</v>
      </c>
      <c r="S249" s="71">
        <v>5.3879286999999998E-2</v>
      </c>
      <c r="T249" s="71">
        <v>5.2676987000000002E-2</v>
      </c>
      <c r="U249" s="71">
        <v>5.2808502E-2</v>
      </c>
      <c r="V249" s="71">
        <v>5.3666057000000003E-2</v>
      </c>
      <c r="W249" s="71">
        <v>5.3963283000000001E-2</v>
      </c>
      <c r="X249" s="71">
        <v>5.3657588999999999E-2</v>
      </c>
      <c r="Y249" s="71">
        <v>5.3421457999999998E-2</v>
      </c>
      <c r="Z249" s="71">
        <v>3.8075702000000003E-2</v>
      </c>
      <c r="AA249" s="71">
        <v>3.7436840999999998E-2</v>
      </c>
      <c r="AB249" s="71">
        <v>3.5308311000000002E-2</v>
      </c>
      <c r="AC249" s="71">
        <v>3.2255120999999998E-2</v>
      </c>
      <c r="AD249" s="71">
        <v>3.0664861000000002E-2</v>
      </c>
      <c r="AE249" s="71">
        <v>3.0299353000000001E-2</v>
      </c>
      <c r="AF249" s="71">
        <v>2.9755585000000001E-2</v>
      </c>
      <c r="AG249" s="71">
        <v>4.5855031999999997E-2</v>
      </c>
      <c r="AH249" s="71">
        <v>4.6545797999999999E-2</v>
      </c>
      <c r="AI249" s="71">
        <v>4.8698954000000003E-2</v>
      </c>
      <c r="AJ249" s="71">
        <v>5.1531285000000003E-2</v>
      </c>
      <c r="AK249" s="71">
        <v>5.2739494999999997E-2</v>
      </c>
      <c r="AL249" s="71">
        <v>5.2695961999999999E-2</v>
      </c>
      <c r="AM249" s="71">
        <v>5.2883284000000003E-2</v>
      </c>
      <c r="AN249" s="71">
        <v>3.5717971000000001E-2</v>
      </c>
      <c r="AO249" s="71">
        <v>0.90830745899999998</v>
      </c>
      <c r="AP249" s="71">
        <v>-8.4260829999999991E-3</v>
      </c>
    </row>
    <row r="250" spans="1:42" x14ac:dyDescent="0.2">
      <c r="A250" t="s">
        <v>259</v>
      </c>
      <c r="B250" t="s">
        <v>112</v>
      </c>
      <c r="C250" t="s">
        <v>124</v>
      </c>
      <c r="D250" t="s">
        <v>123</v>
      </c>
      <c r="E250" s="71">
        <v>8.5424179999999995E-3</v>
      </c>
      <c r="F250" s="71">
        <v>9.4910859999999993E-3</v>
      </c>
      <c r="G250" s="71">
        <v>1.1555790999999999E-2</v>
      </c>
      <c r="H250" s="71">
        <v>1.4100671E-2</v>
      </c>
      <c r="I250" s="71">
        <v>1.5620469999999999E-2</v>
      </c>
      <c r="J250" s="71">
        <v>1.6572356E-2</v>
      </c>
      <c r="K250" s="71">
        <v>1.7212867999999999E-2</v>
      </c>
      <c r="L250" s="71">
        <v>-2.6196359999999998E-3</v>
      </c>
      <c r="M250" s="71">
        <v>-2.5101499999999999E-4</v>
      </c>
      <c r="N250" s="71">
        <v>2.4157359999999999E-3</v>
      </c>
      <c r="O250" s="71">
        <v>5.5008970000000003E-3</v>
      </c>
      <c r="P250" s="71">
        <v>7.5988549999999998E-3</v>
      </c>
      <c r="Q250" s="71">
        <v>9.0788529999999996E-3</v>
      </c>
      <c r="R250" s="71">
        <v>9.9931789999999996E-3</v>
      </c>
      <c r="S250" s="71">
        <v>1.9907595E-2</v>
      </c>
      <c r="T250" s="71">
        <v>1.9510670000000001E-2</v>
      </c>
      <c r="U250" s="71">
        <v>2.0822429999999999E-2</v>
      </c>
      <c r="V250" s="71">
        <v>2.2952054999999999E-2</v>
      </c>
      <c r="W250" s="71">
        <v>2.3837549E-2</v>
      </c>
      <c r="X250" s="71">
        <v>2.4394277999999998E-2</v>
      </c>
      <c r="Y250" s="71">
        <v>2.4582228000000001E-2</v>
      </c>
      <c r="Z250" s="71">
        <v>4.4237479999999999E-3</v>
      </c>
      <c r="AA250" s="71">
        <v>5.1104119999999999E-3</v>
      </c>
      <c r="AB250" s="71">
        <v>6.1479739999999996E-3</v>
      </c>
      <c r="AC250" s="71">
        <v>8.3005289999999992E-3</v>
      </c>
      <c r="AD250" s="71">
        <v>9.7842640000000008E-3</v>
      </c>
      <c r="AE250" s="71">
        <v>1.0767911E-2</v>
      </c>
      <c r="AF250" s="71">
        <v>1.1876367000000001E-2</v>
      </c>
      <c r="AG250" s="71">
        <v>1.266518E-2</v>
      </c>
      <c r="AH250" s="71">
        <v>1.3878613999999999E-2</v>
      </c>
      <c r="AI250" s="71">
        <v>1.6982352999999999E-2</v>
      </c>
      <c r="AJ250" s="71">
        <v>1.9926309E-2</v>
      </c>
      <c r="AK250" s="71">
        <v>2.1484363999999999E-2</v>
      </c>
      <c r="AL250" s="71">
        <v>2.2405125000000001E-2</v>
      </c>
      <c r="AM250" s="71">
        <v>2.2573378000000002E-2</v>
      </c>
      <c r="AN250" s="71">
        <v>3.4967935999999998E-2</v>
      </c>
      <c r="AO250" s="71">
        <v>1</v>
      </c>
      <c r="AP250" s="71">
        <v>-0.105160842</v>
      </c>
    </row>
    <row r="251" spans="1:42" x14ac:dyDescent="0.2">
      <c r="A251" t="s">
        <v>288</v>
      </c>
      <c r="B251" t="s">
        <v>112</v>
      </c>
      <c r="C251" t="s">
        <v>124</v>
      </c>
      <c r="D251" t="s">
        <v>123</v>
      </c>
      <c r="E251" s="71">
        <v>4.3322444000000002E-2</v>
      </c>
      <c r="F251" s="71">
        <v>4.3224812000000001E-2</v>
      </c>
      <c r="G251" s="71">
        <v>4.2979956E-2</v>
      </c>
      <c r="H251" s="71">
        <v>4.2622447000000001E-2</v>
      </c>
      <c r="I251" s="71">
        <v>4.2376041000000003E-2</v>
      </c>
      <c r="J251" s="71">
        <v>4.2208910000000002E-2</v>
      </c>
      <c r="K251" s="71">
        <v>4.2091727000000002E-2</v>
      </c>
      <c r="L251" s="71">
        <v>3.1431078000000001E-2</v>
      </c>
      <c r="M251" s="71">
        <v>3.3222544999999999E-2</v>
      </c>
      <c r="N251" s="71">
        <v>3.4121532000000003E-2</v>
      </c>
      <c r="O251" s="71">
        <v>3.4789067E-2</v>
      </c>
      <c r="P251" s="71">
        <v>3.5150866000000003E-2</v>
      </c>
      <c r="Q251" s="71">
        <v>3.5612215000000003E-2</v>
      </c>
      <c r="R251" s="71">
        <v>3.5799214000000003E-2</v>
      </c>
      <c r="S251" s="71">
        <v>5.5130725999999998E-2</v>
      </c>
      <c r="T251" s="71">
        <v>5.3698725000000003E-2</v>
      </c>
      <c r="U251" s="71">
        <v>5.1990016999999999E-2</v>
      </c>
      <c r="V251" s="71">
        <v>5.0600436999999998E-2</v>
      </c>
      <c r="W251" s="71">
        <v>4.9567857E-2</v>
      </c>
      <c r="X251" s="71">
        <v>4.8940039999999997E-2</v>
      </c>
      <c r="Y251" s="71">
        <v>4.8382925E-2</v>
      </c>
      <c r="Z251" s="71">
        <v>3.9006481000000003E-2</v>
      </c>
      <c r="AA251" s="71">
        <v>3.8945042999999999E-2</v>
      </c>
      <c r="AB251" s="71">
        <v>3.8111828E-2</v>
      </c>
      <c r="AC251" s="71">
        <v>3.7548889000000002E-2</v>
      </c>
      <c r="AD251" s="71">
        <v>3.7483422000000002E-2</v>
      </c>
      <c r="AE251" s="71">
        <v>3.7456253000000002E-2</v>
      </c>
      <c r="AF251" s="71">
        <v>3.7839769000000002E-2</v>
      </c>
      <c r="AG251" s="71">
        <v>4.7642775999999998E-2</v>
      </c>
      <c r="AH251" s="71">
        <v>4.7509707999999998E-2</v>
      </c>
      <c r="AI251" s="71">
        <v>4.7860056999999998E-2</v>
      </c>
      <c r="AJ251" s="71">
        <v>4.7712453000000002E-2</v>
      </c>
      <c r="AK251" s="71">
        <v>4.7285516E-2</v>
      </c>
      <c r="AL251" s="71">
        <v>4.6978341999999999E-2</v>
      </c>
      <c r="AM251" s="71">
        <v>4.6356912E-2</v>
      </c>
      <c r="AN251" s="71">
        <v>3.4967935999999998E-2</v>
      </c>
      <c r="AO251" s="71">
        <v>1</v>
      </c>
      <c r="AP251" s="71">
        <v>-0.15326703699999999</v>
      </c>
    </row>
    <row r="252" spans="1:42" x14ac:dyDescent="0.2">
      <c r="A252" t="s">
        <v>272</v>
      </c>
      <c r="B252" t="s">
        <v>112</v>
      </c>
      <c r="C252" t="s">
        <v>124</v>
      </c>
      <c r="D252" t="s">
        <v>123</v>
      </c>
      <c r="E252" s="71">
        <v>3.2700419000000001E-2</v>
      </c>
      <c r="F252" s="71">
        <v>3.3035398000000001E-2</v>
      </c>
      <c r="G252" s="71">
        <v>3.3724189000000002E-2</v>
      </c>
      <c r="H252" s="71">
        <v>3.4504293999999998E-2</v>
      </c>
      <c r="I252" s="71">
        <v>3.493309E-2</v>
      </c>
      <c r="J252" s="71">
        <v>3.5188316999999997E-2</v>
      </c>
      <c r="K252" s="71">
        <v>3.5355686999999997E-2</v>
      </c>
      <c r="L252" s="71">
        <v>2.1391309000000001E-2</v>
      </c>
      <c r="M252" s="71">
        <v>2.2901065000000002E-2</v>
      </c>
      <c r="N252" s="71">
        <v>2.4413959999999998E-2</v>
      </c>
      <c r="O252" s="71">
        <v>2.6042567999999999E-2</v>
      </c>
      <c r="P252" s="71">
        <v>2.6933308E-2</v>
      </c>
      <c r="Q252" s="71">
        <v>2.7845430000000001E-2</v>
      </c>
      <c r="R252" s="71">
        <v>2.8535660000000001E-2</v>
      </c>
      <c r="S252" s="71">
        <v>4.4286190000000003E-2</v>
      </c>
      <c r="T252" s="71">
        <v>4.337531E-2</v>
      </c>
      <c r="U252" s="71">
        <v>4.3359846E-2</v>
      </c>
      <c r="V252" s="71">
        <v>4.3228189E-2</v>
      </c>
      <c r="W252" s="71">
        <v>4.3020786999999998E-2</v>
      </c>
      <c r="X252" s="71">
        <v>4.2793100000000001E-2</v>
      </c>
      <c r="Y252" s="71">
        <v>4.2355902000000001E-2</v>
      </c>
      <c r="Z252" s="71">
        <v>2.8506929E-2</v>
      </c>
      <c r="AA252" s="71">
        <v>2.8910094000000001E-2</v>
      </c>
      <c r="AB252" s="71">
        <v>2.8752678E-2</v>
      </c>
      <c r="AC252" s="71">
        <v>2.8655228000000001E-2</v>
      </c>
      <c r="AD252" s="71">
        <v>2.9248298999999998E-2</v>
      </c>
      <c r="AE252" s="71">
        <v>2.9573683E-2</v>
      </c>
      <c r="AF252" s="71">
        <v>2.9961402000000002E-2</v>
      </c>
      <c r="AG252" s="71">
        <v>3.6897780999999998E-2</v>
      </c>
      <c r="AH252" s="71">
        <v>3.7164899000000001E-2</v>
      </c>
      <c r="AI252" s="71">
        <v>3.8709133999999999E-2</v>
      </c>
      <c r="AJ252" s="71">
        <v>4.0378771000000001E-2</v>
      </c>
      <c r="AK252" s="71">
        <v>4.0642853999999999E-2</v>
      </c>
      <c r="AL252" s="71">
        <v>4.0828403999999999E-2</v>
      </c>
      <c r="AM252" s="71">
        <v>4.0773968000000001E-2</v>
      </c>
      <c r="AN252" s="71">
        <v>3.4967935999999998E-2</v>
      </c>
      <c r="AO252" s="71">
        <v>1</v>
      </c>
      <c r="AP252" s="71">
        <v>-6.8769325000000006E-2</v>
      </c>
    </row>
    <row r="253" spans="1:42" x14ac:dyDescent="0.2">
      <c r="A253" t="s">
        <v>178</v>
      </c>
      <c r="B253" t="s">
        <v>112</v>
      </c>
      <c r="C253" t="s">
        <v>124</v>
      </c>
      <c r="D253" t="s">
        <v>123</v>
      </c>
      <c r="E253" s="71">
        <v>3.9010285999999998E-2</v>
      </c>
      <c r="F253" s="71">
        <v>3.9474368000000003E-2</v>
      </c>
      <c r="G253" s="71">
        <v>4.0275931000000001E-2</v>
      </c>
      <c r="H253" s="71">
        <v>4.1003823000000002E-2</v>
      </c>
      <c r="I253" s="71">
        <v>4.1339040000000001E-2</v>
      </c>
      <c r="J253" s="71">
        <v>4.1523813999999999E-2</v>
      </c>
      <c r="K253" s="71">
        <v>4.1641354999999998E-2</v>
      </c>
      <c r="L253" s="71">
        <v>2.7448883E-2</v>
      </c>
      <c r="M253" s="71">
        <v>2.9282259000000001E-2</v>
      </c>
      <c r="N253" s="71">
        <v>3.0972947000000001E-2</v>
      </c>
      <c r="O253" s="71">
        <v>3.2412654999999999E-2</v>
      </c>
      <c r="P253" s="71">
        <v>3.3273013999999997E-2</v>
      </c>
      <c r="Q253" s="71">
        <v>3.4047160999999999E-2</v>
      </c>
      <c r="R253" s="71">
        <v>3.4643185E-2</v>
      </c>
      <c r="S253" s="71">
        <v>5.0590442999999999E-2</v>
      </c>
      <c r="T253" s="71">
        <v>4.9679948000000002E-2</v>
      </c>
      <c r="U253" s="71">
        <v>4.9699387999999997E-2</v>
      </c>
      <c r="V253" s="71">
        <v>4.9562463000000001E-2</v>
      </c>
      <c r="W253" s="71">
        <v>4.9373027E-2</v>
      </c>
      <c r="X253" s="71">
        <v>4.9074939999999997E-2</v>
      </c>
      <c r="Y253" s="71">
        <v>4.8639715E-2</v>
      </c>
      <c r="Z253" s="71">
        <v>3.4923673000000002E-2</v>
      </c>
      <c r="AA253" s="71">
        <v>3.4776222000000002E-2</v>
      </c>
      <c r="AB253" s="71">
        <v>3.4726301000000001E-2</v>
      </c>
      <c r="AC253" s="71">
        <v>3.5029483E-2</v>
      </c>
      <c r="AD253" s="71">
        <v>3.5314809000000003E-2</v>
      </c>
      <c r="AE253" s="71">
        <v>3.5978824999999999E-2</v>
      </c>
      <c r="AF253" s="71">
        <v>3.6281848999999998E-2</v>
      </c>
      <c r="AG253" s="71">
        <v>4.3113369999999998E-2</v>
      </c>
      <c r="AH253" s="71">
        <v>4.4194026999999997E-2</v>
      </c>
      <c r="AI253" s="71">
        <v>4.5855360999999997E-2</v>
      </c>
      <c r="AJ253" s="71">
        <v>4.7012788999999999E-2</v>
      </c>
      <c r="AK253" s="71">
        <v>4.7398514000000003E-2</v>
      </c>
      <c r="AL253" s="71">
        <v>4.7098440999999998E-2</v>
      </c>
      <c r="AM253" s="71">
        <v>4.7028553000000001E-2</v>
      </c>
      <c r="AN253" s="71">
        <v>3.4967935999999998E-2</v>
      </c>
      <c r="AO253" s="71">
        <v>1</v>
      </c>
      <c r="AP253" s="71">
        <v>-0.19921835700000001</v>
      </c>
    </row>
    <row r="254" spans="1:42" x14ac:dyDescent="0.2">
      <c r="A254" t="s">
        <v>254</v>
      </c>
      <c r="B254" t="s">
        <v>112</v>
      </c>
      <c r="C254" t="s">
        <v>124</v>
      </c>
      <c r="D254" t="s">
        <v>123</v>
      </c>
      <c r="E254" s="71">
        <v>2.3393869000000001E-2</v>
      </c>
      <c r="F254" s="71">
        <v>2.5157213000000001E-2</v>
      </c>
      <c r="G254" s="71">
        <v>2.9112339000000001E-2</v>
      </c>
      <c r="H254" s="71">
        <v>3.4193158000000001E-2</v>
      </c>
      <c r="I254" s="71">
        <v>3.7342548000000003E-2</v>
      </c>
      <c r="J254" s="71">
        <v>3.9355873999999999E-2</v>
      </c>
      <c r="K254" s="71">
        <v>4.0724516000000002E-2</v>
      </c>
      <c r="L254" s="71">
        <v>1.2055715999999999E-2</v>
      </c>
      <c r="M254" s="71">
        <v>1.5021021000000001E-2</v>
      </c>
      <c r="N254" s="71">
        <v>1.9705107999999999E-2</v>
      </c>
      <c r="O254" s="71">
        <v>2.5220283E-2</v>
      </c>
      <c r="P254" s="71">
        <v>2.9013501000000001E-2</v>
      </c>
      <c r="Q254" s="71">
        <v>3.1464095999999997E-2</v>
      </c>
      <c r="R254" s="71">
        <v>3.3319682000000003E-2</v>
      </c>
      <c r="S254" s="71">
        <v>3.4947931000000002E-2</v>
      </c>
      <c r="T254" s="71">
        <v>3.5468872999999998E-2</v>
      </c>
      <c r="U254" s="71">
        <v>3.8649292000000002E-2</v>
      </c>
      <c r="V254" s="71">
        <v>4.3237485999999999E-2</v>
      </c>
      <c r="W254" s="71">
        <v>4.5919525000000003E-2</v>
      </c>
      <c r="X254" s="71">
        <v>4.7354914999999997E-2</v>
      </c>
      <c r="Y254" s="71">
        <v>4.8303230000000003E-2</v>
      </c>
      <c r="Z254" s="71">
        <v>1.9457365000000001E-2</v>
      </c>
      <c r="AA254" s="71">
        <v>2.1010859E-2</v>
      </c>
      <c r="AB254" s="71">
        <v>2.3509806000000001E-2</v>
      </c>
      <c r="AC254" s="71">
        <v>2.7842757999999999E-2</v>
      </c>
      <c r="AD254" s="71">
        <v>3.0770021000000002E-2</v>
      </c>
      <c r="AE254" s="71">
        <v>3.3155586000000001E-2</v>
      </c>
      <c r="AF254" s="71">
        <v>3.4672014000000001E-2</v>
      </c>
      <c r="AG254" s="71">
        <v>2.7345667000000001E-2</v>
      </c>
      <c r="AH254" s="71">
        <v>2.9320338000000001E-2</v>
      </c>
      <c r="AI254" s="71">
        <v>3.4745606999999998E-2</v>
      </c>
      <c r="AJ254" s="71">
        <v>4.0582779999999999E-2</v>
      </c>
      <c r="AK254" s="71">
        <v>4.3956899000000001E-2</v>
      </c>
      <c r="AL254" s="71">
        <v>4.5593482999999997E-2</v>
      </c>
      <c r="AM254" s="71">
        <v>4.6812511000000001E-2</v>
      </c>
      <c r="AN254" s="71">
        <v>3.4967935999999998E-2</v>
      </c>
      <c r="AO254" s="71">
        <v>1</v>
      </c>
      <c r="AP254" s="71">
        <v>-0.14689767000000001</v>
      </c>
    </row>
    <row r="255" spans="1:42" x14ac:dyDescent="0.2">
      <c r="A255" t="s">
        <v>214</v>
      </c>
      <c r="B255" t="s">
        <v>112</v>
      </c>
      <c r="C255" t="s">
        <v>124</v>
      </c>
      <c r="D255" t="s">
        <v>123</v>
      </c>
      <c r="E255" s="71">
        <v>3.3629298000000002E-2</v>
      </c>
      <c r="F255" s="71">
        <v>3.3742784999999997E-2</v>
      </c>
      <c r="G255" s="71">
        <v>3.4053564000000001E-2</v>
      </c>
      <c r="H255" s="71">
        <v>3.4579038999999999E-2</v>
      </c>
      <c r="I255" s="71">
        <v>3.5001755000000002E-2</v>
      </c>
      <c r="J255" s="71">
        <v>3.5322188999999997E-2</v>
      </c>
      <c r="K255" s="71">
        <v>3.5563707E-2</v>
      </c>
      <c r="L255" s="71">
        <v>2.2184329999999999E-2</v>
      </c>
      <c r="M255" s="71">
        <v>2.3726552000000001E-2</v>
      </c>
      <c r="N255" s="71">
        <v>2.452002E-2</v>
      </c>
      <c r="O255" s="71">
        <v>2.5276347000000001E-2</v>
      </c>
      <c r="P255" s="71">
        <v>2.5876764999999999E-2</v>
      </c>
      <c r="Q255" s="71">
        <v>2.6531269999999999E-2</v>
      </c>
      <c r="R255" s="71">
        <v>2.7156853000000002E-2</v>
      </c>
      <c r="S255" s="71">
        <v>4.5152527999999997E-2</v>
      </c>
      <c r="T255" s="71">
        <v>4.3977200000000001E-2</v>
      </c>
      <c r="U255" s="71">
        <v>4.3697379000000001E-2</v>
      </c>
      <c r="V255" s="71">
        <v>4.3948854000000002E-2</v>
      </c>
      <c r="W255" s="71">
        <v>4.4087810999999998E-2</v>
      </c>
      <c r="X255" s="71">
        <v>4.4204378000000003E-2</v>
      </c>
      <c r="Y255" s="71">
        <v>4.4061044000000001E-2</v>
      </c>
      <c r="Z255" s="71">
        <v>2.9441272000000001E-2</v>
      </c>
      <c r="AA255" s="71">
        <v>2.9111041000000001E-2</v>
      </c>
      <c r="AB255" s="71">
        <v>2.8226831000000001E-2</v>
      </c>
      <c r="AC255" s="71">
        <v>2.7595087000000001E-2</v>
      </c>
      <c r="AD255" s="71">
        <v>2.7822768000000001E-2</v>
      </c>
      <c r="AE255" s="71">
        <v>2.8002421999999999E-2</v>
      </c>
      <c r="AF255" s="71">
        <v>2.8229875000000001E-2</v>
      </c>
      <c r="AG255" s="71">
        <v>3.7820964999999998E-2</v>
      </c>
      <c r="AH255" s="71">
        <v>3.8382767999999998E-2</v>
      </c>
      <c r="AI255" s="71">
        <v>3.9902513000000001E-2</v>
      </c>
      <c r="AJ255" s="71">
        <v>4.1602247000000002E-2</v>
      </c>
      <c r="AK255" s="71">
        <v>4.2224416000000001E-2</v>
      </c>
      <c r="AL255" s="71">
        <v>4.2688693999999999E-2</v>
      </c>
      <c r="AM255" s="71">
        <v>4.2945353999999998E-2</v>
      </c>
      <c r="AN255" s="71">
        <v>3.4967935999999998E-2</v>
      </c>
      <c r="AO255" s="71">
        <v>1</v>
      </c>
      <c r="AP255" s="71">
        <v>-8.0777719999999997E-2</v>
      </c>
    </row>
    <row r="256" spans="1:42" x14ac:dyDescent="0.2">
      <c r="A256" t="s">
        <v>164</v>
      </c>
      <c r="B256" t="s">
        <v>112</v>
      </c>
      <c r="C256" t="s">
        <v>124</v>
      </c>
      <c r="D256" t="s">
        <v>123</v>
      </c>
      <c r="E256" s="71">
        <v>2.3775577999999999E-2</v>
      </c>
      <c r="F256" s="71">
        <v>2.4279714000000001E-2</v>
      </c>
      <c r="G256" s="71">
        <v>2.5578856000000001E-2</v>
      </c>
      <c r="H256" s="71">
        <v>2.7614355E-2</v>
      </c>
      <c r="I256" s="71">
        <v>2.9147625E-2</v>
      </c>
      <c r="J256" s="71">
        <v>3.0263424000000001E-2</v>
      </c>
      <c r="K256" s="71">
        <v>3.1084298999999999E-2</v>
      </c>
      <c r="L256" s="71">
        <v>1.2295896000000001E-2</v>
      </c>
      <c r="M256" s="71">
        <v>1.4301517E-2</v>
      </c>
      <c r="N256" s="71">
        <v>1.6920168999999999E-2</v>
      </c>
      <c r="O256" s="71">
        <v>1.9814978E-2</v>
      </c>
      <c r="P256" s="71">
        <v>2.1980837E-2</v>
      </c>
      <c r="Q256" s="71">
        <v>2.3581604999999999E-2</v>
      </c>
      <c r="R256" s="71">
        <v>2.4846637000000001E-2</v>
      </c>
      <c r="S256" s="71">
        <v>3.5332848E-2</v>
      </c>
      <c r="T256" s="71">
        <v>3.4306958999999998E-2</v>
      </c>
      <c r="U256" s="71">
        <v>3.4312600999999998E-2</v>
      </c>
      <c r="V256" s="71">
        <v>3.5424679000000001E-2</v>
      </c>
      <c r="W256" s="71">
        <v>3.6249513999999997E-2</v>
      </c>
      <c r="X256" s="71">
        <v>3.6932454000000003E-2</v>
      </c>
      <c r="Y256" s="71">
        <v>3.7322191999999997E-2</v>
      </c>
      <c r="Z256" s="71">
        <v>1.9781358999999998E-2</v>
      </c>
      <c r="AA256" s="71">
        <v>2.0328605999999999E-2</v>
      </c>
      <c r="AB256" s="71">
        <v>2.1391856000000001E-2</v>
      </c>
      <c r="AC256" s="71">
        <v>2.3191144E-2</v>
      </c>
      <c r="AD256" s="71">
        <v>2.4595229999999999E-2</v>
      </c>
      <c r="AE256" s="71">
        <v>2.5851339000000001E-2</v>
      </c>
      <c r="AF256" s="71">
        <v>2.6793009999999999E-2</v>
      </c>
      <c r="AG256" s="71">
        <v>2.7772301999999999E-2</v>
      </c>
      <c r="AH256" s="71">
        <v>2.8233813E-2</v>
      </c>
      <c r="AI256" s="71">
        <v>2.9772559000000001E-2</v>
      </c>
      <c r="AJ256" s="71">
        <v>3.2048524000000002E-2</v>
      </c>
      <c r="AK256" s="71">
        <v>3.3713897E-2</v>
      </c>
      <c r="AL256" s="71">
        <v>3.4689354999999998E-2</v>
      </c>
      <c r="AM256" s="71">
        <v>3.5389155999999998E-2</v>
      </c>
      <c r="AN256" s="71">
        <v>3.4967935999999998E-2</v>
      </c>
      <c r="AO256" s="71">
        <v>1</v>
      </c>
      <c r="AP256" s="71">
        <v>-0.14586510499999999</v>
      </c>
    </row>
    <row r="257" spans="1:42" x14ac:dyDescent="0.2">
      <c r="A257" t="s">
        <v>345</v>
      </c>
      <c r="B257" t="s">
        <v>112</v>
      </c>
      <c r="C257" t="s">
        <v>124</v>
      </c>
      <c r="D257" t="s">
        <v>123</v>
      </c>
      <c r="E257" s="71">
        <v>6.0495734000000002E-2</v>
      </c>
      <c r="F257" s="71">
        <v>6.0446501E-2</v>
      </c>
      <c r="G257" s="71">
        <v>6.0252546999999997E-2</v>
      </c>
      <c r="H257" s="71">
        <v>5.9933542999999999E-2</v>
      </c>
      <c r="I257" s="71">
        <v>5.9706807000000001E-2</v>
      </c>
      <c r="J257" s="71">
        <v>5.9551596999999998E-2</v>
      </c>
      <c r="K257" s="71">
        <v>5.9442162999999999E-2</v>
      </c>
      <c r="L257" s="71">
        <v>4.8532489999999998E-2</v>
      </c>
      <c r="M257" s="71">
        <v>5.0087039E-2</v>
      </c>
      <c r="N257" s="71">
        <v>5.1211791E-2</v>
      </c>
      <c r="O257" s="71">
        <v>5.2028519000000002E-2</v>
      </c>
      <c r="P257" s="71">
        <v>5.2366112999999999E-2</v>
      </c>
      <c r="Q257" s="71">
        <v>5.2832244E-2</v>
      </c>
      <c r="R257" s="71">
        <v>5.3166983000000001E-2</v>
      </c>
      <c r="S257" s="71">
        <v>7.2555540000000002E-2</v>
      </c>
      <c r="T257" s="71">
        <v>7.0840842000000001E-2</v>
      </c>
      <c r="U257" s="71">
        <v>6.9354829000000007E-2</v>
      </c>
      <c r="V257" s="71">
        <v>6.7913052000000002E-2</v>
      </c>
      <c r="W257" s="71">
        <v>6.6996449E-2</v>
      </c>
      <c r="X257" s="71">
        <v>6.6316410000000006E-2</v>
      </c>
      <c r="Y257" s="71">
        <v>6.5676896999999998E-2</v>
      </c>
      <c r="Z257" s="71">
        <v>5.6110528E-2</v>
      </c>
      <c r="AA257" s="71">
        <v>5.5989791999999997E-2</v>
      </c>
      <c r="AB257" s="71">
        <v>5.5525379999999999E-2</v>
      </c>
      <c r="AC257" s="71">
        <v>5.5158711999999999E-2</v>
      </c>
      <c r="AD257" s="71">
        <v>5.5057991000000001E-2</v>
      </c>
      <c r="AE257" s="71">
        <v>5.4936938999999997E-2</v>
      </c>
      <c r="AF257" s="71">
        <v>5.5051418999999997E-2</v>
      </c>
      <c r="AG257" s="71">
        <v>6.4885803000000006E-2</v>
      </c>
      <c r="AH257" s="71">
        <v>6.4909374000000006E-2</v>
      </c>
      <c r="AI257" s="71">
        <v>6.4989902000000002E-2</v>
      </c>
      <c r="AJ257" s="71">
        <v>6.4721925999999999E-2</v>
      </c>
      <c r="AK257" s="71">
        <v>6.4369843999999996E-2</v>
      </c>
      <c r="AL257" s="71">
        <v>6.4181144999999995E-2</v>
      </c>
      <c r="AM257" s="71">
        <v>6.3846978999999998E-2</v>
      </c>
      <c r="AN257" s="71">
        <v>3.4967935999999998E-2</v>
      </c>
      <c r="AO257" s="71">
        <v>1</v>
      </c>
      <c r="AP257" s="71">
        <v>-0.113859743</v>
      </c>
    </row>
    <row r="258" spans="1:42" x14ac:dyDescent="0.2">
      <c r="A258" t="s">
        <v>240</v>
      </c>
      <c r="B258" t="s">
        <v>112</v>
      </c>
      <c r="C258" t="s">
        <v>330</v>
      </c>
      <c r="D258" t="s">
        <v>153</v>
      </c>
      <c r="E258" s="71">
        <v>4.8986197000000002E-2</v>
      </c>
      <c r="F258" s="71">
        <v>4.8263669000000002E-2</v>
      </c>
      <c r="G258" s="71">
        <v>4.6526669999999999E-2</v>
      </c>
      <c r="H258" s="71">
        <v>4.4071316999999999E-2</v>
      </c>
      <c r="I258" s="71">
        <v>4.2406559000000003E-2</v>
      </c>
      <c r="J258" s="71">
        <v>4.1283011000000001E-2</v>
      </c>
      <c r="K258" s="71">
        <v>4.0497183999999999E-2</v>
      </c>
      <c r="L258" s="71">
        <v>1.3701077000000001E-2</v>
      </c>
      <c r="M258" s="71">
        <v>1.5866476000000001E-2</v>
      </c>
      <c r="N258" s="71">
        <v>1.519623E-2</v>
      </c>
      <c r="O258" s="71">
        <v>1.3419781E-2</v>
      </c>
      <c r="P258" s="71">
        <v>1.2432056E-2</v>
      </c>
      <c r="Q258" s="71">
        <v>1.1470614000000001E-2</v>
      </c>
      <c r="R258" s="71">
        <v>1.0604519E-2</v>
      </c>
      <c r="S258" s="71">
        <v>8.5355994000000004E-2</v>
      </c>
      <c r="T258" s="71">
        <v>8.1361269999999999E-2</v>
      </c>
      <c r="U258" s="71">
        <v>7.8320182000000002E-2</v>
      </c>
      <c r="V258" s="71">
        <v>7.5503464000000006E-2</v>
      </c>
      <c r="W258" s="71">
        <v>7.3271358999999994E-2</v>
      </c>
      <c r="X258" s="71">
        <v>7.1915142000000001E-2</v>
      </c>
      <c r="Y258" s="71">
        <v>7.1098880000000003E-2</v>
      </c>
      <c r="Z258" s="71">
        <v>2.3169499E-2</v>
      </c>
      <c r="AA258" s="71">
        <v>2.2605116000000001E-2</v>
      </c>
      <c r="AB258" s="71">
        <v>1.9527441999999999E-2</v>
      </c>
      <c r="AC258" s="71">
        <v>1.6265439E-2</v>
      </c>
      <c r="AD258" s="71">
        <v>1.3542782999999999E-2</v>
      </c>
      <c r="AE258" s="71">
        <v>1.3157067E-2</v>
      </c>
      <c r="AF258" s="71">
        <v>1.3070997000000001E-2</v>
      </c>
      <c r="AG258" s="71">
        <v>7.5451518999999995E-2</v>
      </c>
      <c r="AH258" s="71">
        <v>7.4563419000000006E-2</v>
      </c>
      <c r="AI258" s="71">
        <v>7.4238789999999999E-2</v>
      </c>
      <c r="AJ258" s="71">
        <v>7.2636252999999998E-2</v>
      </c>
      <c r="AK258" s="71">
        <v>7.2090927999999999E-2</v>
      </c>
      <c r="AL258" s="71">
        <v>7.0188819E-2</v>
      </c>
      <c r="AM258" s="71">
        <v>6.8664951000000002E-2</v>
      </c>
      <c r="AN258" s="71">
        <v>7.4030979999999996E-2</v>
      </c>
      <c r="AO258" s="71">
        <v>-0.27245286099999999</v>
      </c>
      <c r="AP258" s="71">
        <v>0.575012258</v>
      </c>
    </row>
    <row r="259" spans="1:42" x14ac:dyDescent="0.2">
      <c r="A259" t="s">
        <v>224</v>
      </c>
      <c r="B259" t="s">
        <v>112</v>
      </c>
      <c r="C259" t="s">
        <v>330</v>
      </c>
      <c r="D259" t="s">
        <v>153</v>
      </c>
      <c r="E259" s="71">
        <v>6.1827183000000001E-2</v>
      </c>
      <c r="F259" s="71">
        <v>6.0616255000000001E-2</v>
      </c>
      <c r="G259" s="71">
        <v>5.7590961000000003E-2</v>
      </c>
      <c r="H259" s="71">
        <v>5.3037405000000003E-2</v>
      </c>
      <c r="I259" s="71">
        <v>4.9715161000000001E-2</v>
      </c>
      <c r="J259" s="71">
        <v>4.7333836999999997E-2</v>
      </c>
      <c r="K259" s="71">
        <v>4.5590161999999997E-2</v>
      </c>
      <c r="L259" s="71">
        <v>2.6503374E-2</v>
      </c>
      <c r="M259" s="71">
        <v>2.7659416999999999E-2</v>
      </c>
      <c r="N259" s="71">
        <v>2.5426087E-2</v>
      </c>
      <c r="O259" s="71">
        <v>2.1943304E-2</v>
      </c>
      <c r="P259" s="71">
        <v>1.9890621000000001E-2</v>
      </c>
      <c r="Q259" s="71">
        <v>1.9616086000000001E-2</v>
      </c>
      <c r="R259" s="71">
        <v>1.9097844999999999E-2</v>
      </c>
      <c r="S259" s="71">
        <v>9.8637494000000006E-2</v>
      </c>
      <c r="T259" s="71">
        <v>9.4463892999999993E-2</v>
      </c>
      <c r="U259" s="71">
        <v>8.9874533000000006E-2</v>
      </c>
      <c r="V259" s="71">
        <v>8.5070648999999998E-2</v>
      </c>
      <c r="W259" s="71">
        <v>7.9976976000000005E-2</v>
      </c>
      <c r="X259" s="71">
        <v>7.5804580999999996E-2</v>
      </c>
      <c r="Y259" s="71">
        <v>7.2756285000000004E-2</v>
      </c>
      <c r="Z259" s="71">
        <v>3.5176726999999998E-2</v>
      </c>
      <c r="AA259" s="71">
        <v>3.3527847999999999E-2</v>
      </c>
      <c r="AB259" s="71">
        <v>2.9885939E-2</v>
      </c>
      <c r="AC259" s="71">
        <v>2.5180759E-2</v>
      </c>
      <c r="AD259" s="71">
        <v>2.3745676E-2</v>
      </c>
      <c r="AE259" s="71">
        <v>2.1555337000000001E-2</v>
      </c>
      <c r="AF259" s="71">
        <v>2.1359394E-2</v>
      </c>
      <c r="AG259" s="71">
        <v>8.9161003000000003E-2</v>
      </c>
      <c r="AH259" s="71">
        <v>8.8412053000000004E-2</v>
      </c>
      <c r="AI259" s="71">
        <v>8.6039057000000002E-2</v>
      </c>
      <c r="AJ259" s="71">
        <v>8.1649266999999998E-2</v>
      </c>
      <c r="AK259" s="71">
        <v>7.6342264000000007E-2</v>
      </c>
      <c r="AL259" s="71">
        <v>7.3761891999999996E-2</v>
      </c>
      <c r="AM259" s="71">
        <v>7.0395045000000003E-2</v>
      </c>
      <c r="AN259" s="71">
        <v>7.4030979999999996E-2</v>
      </c>
      <c r="AO259" s="71">
        <v>-0.223351831</v>
      </c>
      <c r="AP259" s="71">
        <v>0.576493492</v>
      </c>
    </row>
    <row r="260" spans="1:42" x14ac:dyDescent="0.2">
      <c r="A260" t="s">
        <v>200</v>
      </c>
      <c r="B260" t="s">
        <v>112</v>
      </c>
      <c r="C260" t="s">
        <v>330</v>
      </c>
      <c r="D260" t="s">
        <v>153</v>
      </c>
      <c r="E260" s="71">
        <v>3.6586761000000002E-2</v>
      </c>
      <c r="F260" s="71">
        <v>3.6258221E-2</v>
      </c>
      <c r="G260" s="71">
        <v>3.5283088999999997E-2</v>
      </c>
      <c r="H260" s="71">
        <v>3.3649206000000001E-2</v>
      </c>
      <c r="I260" s="71">
        <v>3.2434464000000003E-2</v>
      </c>
      <c r="J260" s="71">
        <v>3.1585096999999999E-2</v>
      </c>
      <c r="K260" s="71">
        <v>3.0982374999999999E-2</v>
      </c>
      <c r="L260" s="71">
        <v>2.1480449999999999E-3</v>
      </c>
      <c r="M260" s="71">
        <v>4.7019669999999996E-3</v>
      </c>
      <c r="N260" s="71">
        <v>4.4930630000000003E-3</v>
      </c>
      <c r="O260" s="71">
        <v>4.1011729999999996E-3</v>
      </c>
      <c r="P260" s="71">
        <v>4.039221E-3</v>
      </c>
      <c r="Q260" s="71">
        <v>5.0171149999999999E-3</v>
      </c>
      <c r="R260" s="71">
        <v>6.2118130000000001E-3</v>
      </c>
      <c r="S260" s="71">
        <v>7.2167814999999996E-2</v>
      </c>
      <c r="T260" s="71">
        <v>6.8906745000000005E-2</v>
      </c>
      <c r="U260" s="71">
        <v>6.7155879000000002E-2</v>
      </c>
      <c r="V260" s="71">
        <v>6.4544754999999995E-2</v>
      </c>
      <c r="W260" s="71">
        <v>6.1256378E-2</v>
      </c>
      <c r="X260" s="71">
        <v>5.8476119E-2</v>
      </c>
      <c r="Y260" s="71">
        <v>5.6142624000000002E-2</v>
      </c>
      <c r="Z260" s="71">
        <v>1.0355592E-2</v>
      </c>
      <c r="AA260" s="71">
        <v>1.0630155000000001E-2</v>
      </c>
      <c r="AB260" s="71">
        <v>8.9227860000000003E-3</v>
      </c>
      <c r="AC260" s="71">
        <v>7.6634549999999996E-3</v>
      </c>
      <c r="AD260" s="71">
        <v>7.1985540000000002E-3</v>
      </c>
      <c r="AE260" s="71">
        <v>7.3417029999999998E-3</v>
      </c>
      <c r="AF260" s="71">
        <v>8.0731989999999997E-3</v>
      </c>
      <c r="AG260" s="71">
        <v>6.3667695999999996E-2</v>
      </c>
      <c r="AH260" s="71">
        <v>6.2694958999999995E-2</v>
      </c>
      <c r="AI260" s="71">
        <v>6.2467565000000003E-2</v>
      </c>
      <c r="AJ260" s="71">
        <v>6.0407465E-2</v>
      </c>
      <c r="AK260" s="71">
        <v>5.8382733999999999E-2</v>
      </c>
      <c r="AL260" s="71">
        <v>5.6476738999999998E-2</v>
      </c>
      <c r="AM260" s="71">
        <v>5.4466221000000002E-2</v>
      </c>
      <c r="AN260" s="71">
        <v>7.4030979999999996E-2</v>
      </c>
      <c r="AO260" s="71">
        <v>-0.223847875</v>
      </c>
      <c r="AP260" s="71">
        <v>0.57644080499999995</v>
      </c>
    </row>
    <row r="261" spans="1:42" x14ac:dyDescent="0.2">
      <c r="A261" t="s">
        <v>259</v>
      </c>
      <c r="B261" t="s">
        <v>112</v>
      </c>
      <c r="C261" t="s">
        <v>330</v>
      </c>
      <c r="D261" t="s">
        <v>153</v>
      </c>
      <c r="E261" s="71">
        <v>3.0146955999999999E-2</v>
      </c>
      <c r="F261" s="71">
        <v>3.0515193999999999E-2</v>
      </c>
      <c r="G261" s="71">
        <v>3.1175971E-2</v>
      </c>
      <c r="H261" s="71">
        <v>3.171885E-2</v>
      </c>
      <c r="I261" s="71">
        <v>3.1871915000000001E-2</v>
      </c>
      <c r="J261" s="71">
        <v>3.1897663999999999E-2</v>
      </c>
      <c r="K261" s="71">
        <v>3.1888962E-2</v>
      </c>
      <c r="L261" s="71">
        <v>-4.2963180000000004E-3</v>
      </c>
      <c r="M261" s="71">
        <v>-1.3327250000000001E-3</v>
      </c>
      <c r="N261" s="71">
        <v>7.3959899999999996E-4</v>
      </c>
      <c r="O261" s="71">
        <v>2.764599E-3</v>
      </c>
      <c r="P261" s="71">
        <v>3.7353270000000001E-3</v>
      </c>
      <c r="Q261" s="71">
        <v>5.5932530000000003E-3</v>
      </c>
      <c r="R261" s="71">
        <v>6.9824919999999999E-3</v>
      </c>
      <c r="S261" s="71">
        <v>6.5943532999999999E-2</v>
      </c>
      <c r="T261" s="71">
        <v>6.3214127999999994E-2</v>
      </c>
      <c r="U261" s="71">
        <v>6.3007111000000005E-2</v>
      </c>
      <c r="V261" s="71">
        <v>6.1841559999999997E-2</v>
      </c>
      <c r="W261" s="71">
        <v>6.0677399E-2</v>
      </c>
      <c r="X261" s="71">
        <v>5.9205279999999999E-2</v>
      </c>
      <c r="Y261" s="71">
        <v>5.7688622000000002E-2</v>
      </c>
      <c r="Z261" s="71">
        <v>4.3717280000000001E-3</v>
      </c>
      <c r="AA261" s="71">
        <v>5.0220250000000003E-3</v>
      </c>
      <c r="AB261" s="71">
        <v>5.6916989999999997E-3</v>
      </c>
      <c r="AC261" s="71">
        <v>5.4608360000000002E-3</v>
      </c>
      <c r="AD261" s="71">
        <v>7.3100550000000002E-3</v>
      </c>
      <c r="AE261" s="71">
        <v>8.3022749999999996E-3</v>
      </c>
      <c r="AF261" s="71">
        <v>9.3225879999999997E-3</v>
      </c>
      <c r="AG261" s="71">
        <v>5.6751300999999997E-2</v>
      </c>
      <c r="AH261" s="71">
        <v>5.6813203E-2</v>
      </c>
      <c r="AI261" s="71">
        <v>5.7441104999999999E-2</v>
      </c>
      <c r="AJ261" s="71">
        <v>5.8765000999999997E-2</v>
      </c>
      <c r="AK261" s="71">
        <v>5.7112534E-2</v>
      </c>
      <c r="AL261" s="71">
        <v>5.6110093999999999E-2</v>
      </c>
      <c r="AM261" s="71">
        <v>5.5014180000000003E-2</v>
      </c>
      <c r="AN261" s="71">
        <v>7.4030979999999996E-2</v>
      </c>
      <c r="AO261" s="71">
        <v>-0.22253395200000001</v>
      </c>
      <c r="AP261" s="71">
        <v>0.57866287900000002</v>
      </c>
    </row>
    <row r="262" spans="1:42" x14ac:dyDescent="0.2">
      <c r="A262" t="s">
        <v>254</v>
      </c>
      <c r="B262" t="s">
        <v>112</v>
      </c>
      <c r="C262" t="s">
        <v>256</v>
      </c>
      <c r="D262" t="s">
        <v>255</v>
      </c>
      <c r="E262" s="71">
        <v>3.0869245999999999E-2</v>
      </c>
      <c r="F262" s="71">
        <v>3.2411455999999998E-2</v>
      </c>
      <c r="G262" s="71">
        <v>3.5829543999999998E-2</v>
      </c>
      <c r="H262" s="71">
        <v>4.0139793999999999E-2</v>
      </c>
      <c r="I262" s="71">
        <v>4.2760014999999998E-2</v>
      </c>
      <c r="J262" s="71">
        <v>4.4413686000000001E-2</v>
      </c>
      <c r="K262" s="71">
        <v>4.5529366000000002E-2</v>
      </c>
      <c r="L262" s="71">
        <v>-2.5139900000000002E-4</v>
      </c>
      <c r="M262" s="71">
        <v>4.7556270000000001E-3</v>
      </c>
      <c r="N262" s="71">
        <v>9.9952500000000007E-3</v>
      </c>
      <c r="O262" s="71">
        <v>1.5675363000000001E-2</v>
      </c>
      <c r="P262" s="71">
        <v>1.9072951000000001E-2</v>
      </c>
      <c r="Q262" s="71">
        <v>2.220198E-2</v>
      </c>
      <c r="R262" s="71">
        <v>2.4206912000000001E-2</v>
      </c>
      <c r="S262" s="71">
        <v>6.2916160999999998E-2</v>
      </c>
      <c r="T262" s="71">
        <v>6.1465328E-2</v>
      </c>
      <c r="U262" s="71">
        <v>6.2804241999999996E-2</v>
      </c>
      <c r="V262" s="71">
        <v>6.5652277999999994E-2</v>
      </c>
      <c r="W262" s="71">
        <v>6.6881806000000002E-2</v>
      </c>
      <c r="X262" s="71">
        <v>6.7665118999999996E-2</v>
      </c>
      <c r="Y262" s="71">
        <v>6.7541457999999999E-2</v>
      </c>
      <c r="Z262" s="71">
        <v>1.2398030000000001E-2</v>
      </c>
      <c r="AA262" s="71">
        <v>1.4461831E-2</v>
      </c>
      <c r="AB262" s="71">
        <v>1.7803309999999999E-2</v>
      </c>
      <c r="AC262" s="71">
        <v>2.0883763E-2</v>
      </c>
      <c r="AD262" s="71">
        <v>2.415132E-2</v>
      </c>
      <c r="AE262" s="71">
        <v>2.5724238999999999E-2</v>
      </c>
      <c r="AF262" s="71">
        <v>2.7184942E-2</v>
      </c>
      <c r="AG262" s="71">
        <v>4.9677455000000002E-2</v>
      </c>
      <c r="AH262" s="71">
        <v>5.0678648E-2</v>
      </c>
      <c r="AI262" s="71">
        <v>5.4175211000000001E-2</v>
      </c>
      <c r="AJ262" s="71">
        <v>5.9759162999999997E-2</v>
      </c>
      <c r="AK262" s="71">
        <v>6.1706891999999999E-2</v>
      </c>
      <c r="AL262" s="71">
        <v>6.3443569000000005E-2</v>
      </c>
      <c r="AM262" s="71">
        <v>6.4201413999999998E-2</v>
      </c>
      <c r="AN262" s="71">
        <v>8.3665587E-2</v>
      </c>
      <c r="AO262" s="71">
        <v>9.0829919999999995E-2</v>
      </c>
      <c r="AP262" s="71">
        <v>0.32041845600000002</v>
      </c>
    </row>
    <row r="263" spans="1:42" x14ac:dyDescent="0.2">
      <c r="A263" t="s">
        <v>138</v>
      </c>
      <c r="B263" t="s">
        <v>112</v>
      </c>
      <c r="C263" t="s">
        <v>335</v>
      </c>
      <c r="D263" t="s">
        <v>153</v>
      </c>
      <c r="E263" s="71">
        <v>6.8434358000000001E-2</v>
      </c>
      <c r="F263" s="71">
        <v>6.7452669000000007E-2</v>
      </c>
      <c r="G263" s="75">
        <v>6.5037251000000004E-2</v>
      </c>
      <c r="H263" s="71">
        <v>6.1488151999999997E-2</v>
      </c>
      <c r="I263" s="71">
        <v>5.8967828999999999E-2</v>
      </c>
      <c r="J263" s="71">
        <v>5.7199477999999998E-2</v>
      </c>
      <c r="K263" s="71">
        <v>5.5924653999999997E-2</v>
      </c>
      <c r="L263" s="71">
        <v>3.0488642E-2</v>
      </c>
      <c r="M263" s="71">
        <v>3.3003624000000002E-2</v>
      </c>
      <c r="N263" s="71">
        <v>3.1217687000000001E-2</v>
      </c>
      <c r="O263" s="71">
        <v>2.8280195000000001E-2</v>
      </c>
      <c r="P263" s="71">
        <v>2.7967189E-2</v>
      </c>
      <c r="Q263" s="71">
        <v>2.7294982999999998E-2</v>
      </c>
      <c r="R263" s="71">
        <v>2.7322308E-2</v>
      </c>
      <c r="S263" s="71">
        <v>0.107500266</v>
      </c>
      <c r="T263" s="71">
        <v>0.10411535700000001</v>
      </c>
      <c r="U263" s="71">
        <v>0.100211125</v>
      </c>
      <c r="V263" s="71">
        <v>9.5877355999999997E-2</v>
      </c>
      <c r="W263" s="71">
        <v>9.1458964000000004E-2</v>
      </c>
      <c r="X263" s="71">
        <v>8.7789466999999996E-2</v>
      </c>
      <c r="Y263" s="71">
        <v>8.5330906999999998E-2</v>
      </c>
      <c r="Z263" s="71">
        <v>4.0103483000000002E-2</v>
      </c>
      <c r="AA263" s="71">
        <v>3.7651018000000001E-2</v>
      </c>
      <c r="AB263" s="71">
        <v>3.5141743000000003E-2</v>
      </c>
      <c r="AC263" s="71">
        <v>3.1751899E-2</v>
      </c>
      <c r="AD263" s="71">
        <v>2.9671955999999999E-2</v>
      </c>
      <c r="AE263" s="71">
        <v>2.8942295999999999E-2</v>
      </c>
      <c r="AF263" s="71">
        <v>2.8802793E-2</v>
      </c>
      <c r="AG263" s="71">
        <v>9.7533913E-2</v>
      </c>
      <c r="AH263" s="71">
        <v>9.8107432999999994E-2</v>
      </c>
      <c r="AI263" s="71">
        <v>9.5793766000000002E-2</v>
      </c>
      <c r="AJ263" s="71">
        <v>9.2079614000000004E-2</v>
      </c>
      <c r="AK263" s="71">
        <v>8.9095799000000003E-2</v>
      </c>
      <c r="AL263" s="71">
        <v>8.6231369000000002E-2</v>
      </c>
      <c r="AM263" s="71">
        <v>8.3760535999999997E-2</v>
      </c>
      <c r="AN263" s="71">
        <v>7.9882945999999996E-2</v>
      </c>
      <c r="AO263" s="71">
        <v>-0.144639458</v>
      </c>
      <c r="AP263" s="71">
        <v>0.59915287900000003</v>
      </c>
    </row>
    <row r="264" spans="1:42" x14ac:dyDescent="0.2">
      <c r="A264" t="s">
        <v>288</v>
      </c>
      <c r="B264" t="s">
        <v>112</v>
      </c>
      <c r="C264" t="s">
        <v>330</v>
      </c>
      <c r="D264" t="s">
        <v>153</v>
      </c>
      <c r="E264" s="71">
        <v>6.5570115999999998E-2</v>
      </c>
      <c r="F264" s="71">
        <v>6.4905881999999998E-2</v>
      </c>
      <c r="G264" s="71">
        <v>6.3298225E-2</v>
      </c>
      <c r="H264" s="71">
        <v>6.1014652000000003E-2</v>
      </c>
      <c r="I264" s="71">
        <v>5.9462666999999997E-2</v>
      </c>
      <c r="J264" s="71">
        <v>5.8414459000000002E-2</v>
      </c>
      <c r="K264" s="71">
        <v>5.7680964000000001E-2</v>
      </c>
      <c r="L264" s="71">
        <v>1.7136950000000001E-2</v>
      </c>
      <c r="M264" s="71">
        <v>2.2483693999999999E-2</v>
      </c>
      <c r="N264" s="71">
        <v>2.3263626999999999E-2</v>
      </c>
      <c r="O264" s="71">
        <v>2.3784185999999999E-2</v>
      </c>
      <c r="P264" s="71">
        <v>2.4274213999999999E-2</v>
      </c>
      <c r="Q264" s="71">
        <v>2.4944258E-2</v>
      </c>
      <c r="R264" s="71">
        <v>2.6139559E-2</v>
      </c>
      <c r="S264" s="71">
        <v>0.11597466200000001</v>
      </c>
      <c r="T264" s="71">
        <v>0.109625536</v>
      </c>
      <c r="U264" s="71">
        <v>0.105400576</v>
      </c>
      <c r="V264" s="71">
        <v>0.100125939</v>
      </c>
      <c r="W264" s="71">
        <v>9.6548252000000001E-2</v>
      </c>
      <c r="X264" s="71">
        <v>9.3311752999999997E-2</v>
      </c>
      <c r="Y264" s="71">
        <v>9.0572813000000002E-2</v>
      </c>
      <c r="Z264" s="71">
        <v>3.5339635000000001E-2</v>
      </c>
      <c r="AA264" s="71">
        <v>3.4478180999999997E-2</v>
      </c>
      <c r="AB264" s="71">
        <v>3.2280548999999999E-2</v>
      </c>
      <c r="AC264" s="71">
        <v>3.080625E-2</v>
      </c>
      <c r="AD264" s="71">
        <v>2.8814335999999999E-2</v>
      </c>
      <c r="AE264" s="71">
        <v>2.9673392E-2</v>
      </c>
      <c r="AF264" s="71">
        <v>3.1440172000000002E-2</v>
      </c>
      <c r="AG264" s="71">
        <v>9.6871164999999995E-2</v>
      </c>
      <c r="AH264" s="71">
        <v>9.6405640000000001E-2</v>
      </c>
      <c r="AI264" s="71">
        <v>9.5399239999999996E-2</v>
      </c>
      <c r="AJ264" s="71">
        <v>9.2222385000000004E-2</v>
      </c>
      <c r="AK264" s="71">
        <v>9.1113140999999995E-2</v>
      </c>
      <c r="AL264" s="71">
        <v>8.8029983000000006E-2</v>
      </c>
      <c r="AM264" s="71">
        <v>8.4649729000000007E-2</v>
      </c>
      <c r="AN264" s="71">
        <v>0.115350826</v>
      </c>
      <c r="AO264" s="71">
        <v>-0.22202165300000001</v>
      </c>
      <c r="AP264" s="71">
        <v>0.37960749599999999</v>
      </c>
    </row>
    <row r="265" spans="1:42" x14ac:dyDescent="0.2">
      <c r="A265" t="s">
        <v>272</v>
      </c>
      <c r="B265" t="s">
        <v>112</v>
      </c>
      <c r="C265" t="s">
        <v>335</v>
      </c>
      <c r="D265" t="s">
        <v>153</v>
      </c>
      <c r="E265" s="71">
        <v>4.9042463000000001E-2</v>
      </c>
      <c r="F265" s="71">
        <v>4.9126982999999999E-2</v>
      </c>
      <c r="G265" s="71">
        <v>4.9210905999999999E-2</v>
      </c>
      <c r="H265" s="71">
        <v>4.9130677999999997E-2</v>
      </c>
      <c r="I265" s="71">
        <v>4.8973083000000001E-2</v>
      </c>
      <c r="J265" s="71">
        <v>4.8831819999999998E-2</v>
      </c>
      <c r="K265" s="71">
        <v>4.8721313000000002E-2</v>
      </c>
      <c r="L265" s="71">
        <v>9.4574110000000006E-3</v>
      </c>
      <c r="M265" s="71">
        <v>1.1968131E-2</v>
      </c>
      <c r="N265" s="71">
        <v>1.4074181999999999E-2</v>
      </c>
      <c r="O265" s="71">
        <v>1.5601514E-2</v>
      </c>
      <c r="P265" s="71">
        <v>1.7410367999999999E-2</v>
      </c>
      <c r="Q265" s="71">
        <v>1.9285897E-2</v>
      </c>
      <c r="R265" s="71">
        <v>2.1255128000000002E-2</v>
      </c>
      <c r="S265" s="71">
        <v>9.0366133000000001E-2</v>
      </c>
      <c r="T265" s="71">
        <v>8.7118466000000006E-2</v>
      </c>
      <c r="U265" s="71">
        <v>8.5730281000000005E-2</v>
      </c>
      <c r="V265" s="71">
        <v>8.3864869999999994E-2</v>
      </c>
      <c r="W265" s="71">
        <v>8.1493912000000002E-2</v>
      </c>
      <c r="X265" s="71">
        <v>7.9196220999999997E-2</v>
      </c>
      <c r="Y265" s="71">
        <v>7.7519780999999996E-2</v>
      </c>
      <c r="Z265" s="71">
        <v>1.9418431E-2</v>
      </c>
      <c r="AA265" s="71">
        <v>1.9041663E-2</v>
      </c>
      <c r="AB265" s="71">
        <v>1.8736096000000001E-2</v>
      </c>
      <c r="AC265" s="71">
        <v>1.8612928000000001E-2</v>
      </c>
      <c r="AD265" s="71">
        <v>1.9594673999999999E-2</v>
      </c>
      <c r="AE265" s="71">
        <v>2.1981994000000001E-2</v>
      </c>
      <c r="AF265" s="71">
        <v>2.3188614999999999E-2</v>
      </c>
      <c r="AG265" s="71">
        <v>7.9712353E-2</v>
      </c>
      <c r="AH265" s="71">
        <v>8.0275184999999999E-2</v>
      </c>
      <c r="AI265" s="71">
        <v>8.0746376999999994E-2</v>
      </c>
      <c r="AJ265" s="71">
        <v>8.0675618000000004E-2</v>
      </c>
      <c r="AK265" s="71">
        <v>7.9286256999999999E-2</v>
      </c>
      <c r="AL265" s="71">
        <v>7.6458334000000003E-2</v>
      </c>
      <c r="AM265" s="71">
        <v>7.4950874000000001E-2</v>
      </c>
      <c r="AN265" s="71">
        <v>8.5972211000000007E-2</v>
      </c>
      <c r="AO265" s="71">
        <v>-0.16377202199999999</v>
      </c>
      <c r="AP265" s="71">
        <v>0.28501762200000003</v>
      </c>
    </row>
    <row r="266" spans="1:42" x14ac:dyDescent="0.2">
      <c r="A266" t="s">
        <v>345</v>
      </c>
      <c r="B266" t="s">
        <v>112</v>
      </c>
      <c r="C266" t="s">
        <v>350</v>
      </c>
      <c r="D266" t="s">
        <v>351</v>
      </c>
      <c r="E266" s="71">
        <v>6.8300008999999995E-2</v>
      </c>
      <c r="F266" s="71">
        <v>6.7833900000000003E-2</v>
      </c>
      <c r="G266" s="71">
        <v>6.6637515999999994E-2</v>
      </c>
      <c r="H266" s="71">
        <v>6.4900756000000004E-2</v>
      </c>
      <c r="I266" s="71">
        <v>6.3712357999999997E-2</v>
      </c>
      <c r="J266" s="71">
        <v>6.2907815000000006E-2</v>
      </c>
      <c r="K266" s="71">
        <v>6.2344431999999998E-2</v>
      </c>
      <c r="L266" s="71">
        <v>5.2985243000000001E-2</v>
      </c>
      <c r="M266" s="71">
        <v>5.2907122000000001E-2</v>
      </c>
      <c r="N266" s="71">
        <v>4.9581446000000001E-2</v>
      </c>
      <c r="O266" s="71">
        <v>4.6223194000000002E-2</v>
      </c>
      <c r="P266" s="71">
        <v>4.4315083999999998E-2</v>
      </c>
      <c r="Q266" s="71">
        <v>4.3944602999999999E-2</v>
      </c>
      <c r="R266" s="71">
        <v>4.3949541000000002E-2</v>
      </c>
      <c r="S266" s="71">
        <v>8.3633808000000004E-2</v>
      </c>
      <c r="T266" s="71">
        <v>8.3028312000000007E-2</v>
      </c>
      <c r="U266" s="71">
        <v>8.3910922999999998E-2</v>
      </c>
      <c r="V266" s="71">
        <v>8.3884082999999998E-2</v>
      </c>
      <c r="W266" s="71">
        <v>8.3473103000000007E-2</v>
      </c>
      <c r="X266" s="71">
        <v>8.2159097E-2</v>
      </c>
      <c r="Y266" s="71">
        <v>8.0771626999999999E-2</v>
      </c>
      <c r="Z266" s="71">
        <v>5.8854640999999999E-2</v>
      </c>
      <c r="AA266" s="71">
        <v>5.6422579E-2</v>
      </c>
      <c r="AB266" s="71">
        <v>5.1090248999999997E-2</v>
      </c>
      <c r="AC266" s="71">
        <v>4.6206078999999997E-2</v>
      </c>
      <c r="AD266" s="71">
        <v>4.4173326999999998E-2</v>
      </c>
      <c r="AE266" s="71">
        <v>4.2873057999999999E-2</v>
      </c>
      <c r="AF266" s="71">
        <v>4.3379115000000003E-2</v>
      </c>
      <c r="AG266" s="71">
        <v>7.7829544000000001E-2</v>
      </c>
      <c r="AH266" s="71">
        <v>7.9368745000000004E-2</v>
      </c>
      <c r="AI266" s="71">
        <v>8.2414744999999998E-2</v>
      </c>
      <c r="AJ266" s="71">
        <v>8.3929434999999997E-2</v>
      </c>
      <c r="AK266" s="71">
        <v>8.3616918999999998E-2</v>
      </c>
      <c r="AL266" s="71">
        <v>8.3327614999999994E-2</v>
      </c>
      <c r="AM266" s="71">
        <v>8.1654567999999997E-2</v>
      </c>
      <c r="AN266" s="71">
        <v>3.6693904999999999E-2</v>
      </c>
      <c r="AO266" s="71">
        <v>0.39917525199999998</v>
      </c>
      <c r="AP266" s="71">
        <v>-0.15563637699999999</v>
      </c>
    </row>
    <row r="267" spans="1:42" x14ac:dyDescent="0.2">
      <c r="A267" t="s">
        <v>138</v>
      </c>
      <c r="B267" t="s">
        <v>112</v>
      </c>
      <c r="C267" t="s">
        <v>215</v>
      </c>
      <c r="D267" t="s">
        <v>143</v>
      </c>
      <c r="E267" s="71">
        <v>2.4422050000000001E-2</v>
      </c>
      <c r="F267" s="71">
        <v>2.5840878000000001E-2</v>
      </c>
      <c r="G267" s="75">
        <v>2.9209374999999999E-2</v>
      </c>
      <c r="H267" s="71">
        <v>3.3865808999999997E-2</v>
      </c>
      <c r="I267" s="71">
        <v>3.6927342000000002E-2</v>
      </c>
      <c r="J267" s="71">
        <v>3.8933516000000001E-2</v>
      </c>
      <c r="K267" s="71">
        <v>4.0302514999999997E-2</v>
      </c>
      <c r="L267" s="71">
        <v>-6.5894209999999998E-3</v>
      </c>
      <c r="M267" s="71">
        <v>-1.8300530000000001E-3</v>
      </c>
      <c r="N267" s="71">
        <v>3.8918379999999999E-3</v>
      </c>
      <c r="O267" s="71">
        <v>1.0014135E-2</v>
      </c>
      <c r="P267" s="71">
        <v>1.4527584E-2</v>
      </c>
      <c r="Q267" s="71">
        <v>1.7591751999999999E-2</v>
      </c>
      <c r="R267" s="71">
        <v>1.9941266999999999E-2</v>
      </c>
      <c r="S267" s="71">
        <v>5.6037458999999998E-2</v>
      </c>
      <c r="T267" s="71">
        <v>5.3759546999999998E-2</v>
      </c>
      <c r="U267" s="71">
        <v>5.4867895999999999E-2</v>
      </c>
      <c r="V267" s="71">
        <v>5.8227323999999997E-2</v>
      </c>
      <c r="W267" s="71">
        <v>5.9550279999999997E-2</v>
      </c>
      <c r="X267" s="71">
        <v>6.0681336000000002E-2</v>
      </c>
      <c r="Y267" s="71">
        <v>6.1433461000000002E-2</v>
      </c>
      <c r="Z267" s="71">
        <v>8.5888300000000004E-3</v>
      </c>
      <c r="AA267" s="71">
        <v>1.0196718E-2</v>
      </c>
      <c r="AB267" s="71">
        <v>1.2325932E-2</v>
      </c>
      <c r="AC267" s="71">
        <v>1.5640402000000001E-2</v>
      </c>
      <c r="AD267" s="71">
        <v>1.858137E-2</v>
      </c>
      <c r="AE267" s="71">
        <v>2.1026113999999999E-2</v>
      </c>
      <c r="AF267" s="71">
        <v>2.2876756000000002E-2</v>
      </c>
      <c r="AG267" s="71">
        <v>4.0503907999999998E-2</v>
      </c>
      <c r="AH267" s="71">
        <v>4.1727396E-2</v>
      </c>
      <c r="AI267" s="71">
        <v>4.6374184999999998E-2</v>
      </c>
      <c r="AJ267" s="71">
        <v>5.2418253999999997E-2</v>
      </c>
      <c r="AK267" s="71">
        <v>5.5603645E-2</v>
      </c>
      <c r="AL267" s="71">
        <v>5.7154791000000003E-2</v>
      </c>
      <c r="AM267" s="71">
        <v>5.8025053E-2</v>
      </c>
      <c r="AN267" s="71">
        <v>8.7700625000000004E-2</v>
      </c>
      <c r="AO267" s="71">
        <v>0.257591827</v>
      </c>
      <c r="AP267" s="71">
        <v>0.18280381800000001</v>
      </c>
    </row>
    <row r="268" spans="1:42" x14ac:dyDescent="0.2">
      <c r="A268" t="s">
        <v>240</v>
      </c>
      <c r="B268" t="s">
        <v>112</v>
      </c>
      <c r="C268" t="s">
        <v>215</v>
      </c>
      <c r="D268" t="s">
        <v>143</v>
      </c>
      <c r="E268" s="71">
        <v>1.0283113E-2</v>
      </c>
      <c r="F268" s="71">
        <v>1.1786342E-2</v>
      </c>
      <c r="G268" s="71">
        <v>1.5413642E-2</v>
      </c>
      <c r="H268" s="71">
        <v>2.0573497E-2</v>
      </c>
      <c r="I268" s="71">
        <v>2.4093627999999999E-2</v>
      </c>
      <c r="J268" s="71">
        <v>2.6479005999999999E-2</v>
      </c>
      <c r="K268" s="71">
        <v>2.8152226999999998E-2</v>
      </c>
      <c r="L268" s="71">
        <v>-2.5819948999999998E-2</v>
      </c>
      <c r="M268" s="71">
        <v>-2.0463433E-2</v>
      </c>
      <c r="N268" s="71">
        <v>-1.3430799E-2</v>
      </c>
      <c r="O268" s="71">
        <v>-6.3130879999999997E-3</v>
      </c>
      <c r="P268" s="71">
        <v>-2.4764779999999998E-3</v>
      </c>
      <c r="Q268" s="71">
        <v>5.7429499999999995E-4</v>
      </c>
      <c r="R268" s="71">
        <v>1.8809390000000001E-3</v>
      </c>
      <c r="S268" s="71">
        <v>4.800401E-2</v>
      </c>
      <c r="T268" s="71">
        <v>4.5575715000000003E-2</v>
      </c>
      <c r="U268" s="71">
        <v>4.5689085999999997E-2</v>
      </c>
      <c r="V268" s="71">
        <v>4.8823446E-2</v>
      </c>
      <c r="W268" s="71">
        <v>5.1333911000000003E-2</v>
      </c>
      <c r="X268" s="71">
        <v>5.3561888000000002E-2</v>
      </c>
      <c r="Y268" s="71">
        <v>5.5323808000000002E-2</v>
      </c>
      <c r="Z268" s="71">
        <v>-1.0116758E-2</v>
      </c>
      <c r="AA268" s="71">
        <v>-7.2196650000000001E-3</v>
      </c>
      <c r="AB268" s="71">
        <v>-4.3398550000000001E-3</v>
      </c>
      <c r="AC268" s="71">
        <v>7.9617900000000005E-4</v>
      </c>
      <c r="AD268" s="71">
        <v>4.4137919999999997E-3</v>
      </c>
      <c r="AE268" s="71">
        <v>6.3243270000000002E-3</v>
      </c>
      <c r="AF268" s="71">
        <v>6.9969020000000002E-3</v>
      </c>
      <c r="AG268" s="71">
        <v>3.1103392000000001E-2</v>
      </c>
      <c r="AH268" s="71">
        <v>3.1156268000000001E-2</v>
      </c>
      <c r="AI268" s="71">
        <v>3.5558890000000003E-2</v>
      </c>
      <c r="AJ268" s="71">
        <v>4.0741775000000001E-2</v>
      </c>
      <c r="AK268" s="71">
        <v>4.4159095000000002E-2</v>
      </c>
      <c r="AL268" s="71">
        <v>4.7037270999999999E-2</v>
      </c>
      <c r="AM268" s="71">
        <v>4.9752069000000003E-2</v>
      </c>
      <c r="AN268" s="71">
        <v>0.102926541</v>
      </c>
      <c r="AO268" s="71">
        <v>3.6810905999999997E-2</v>
      </c>
      <c r="AP268" s="71">
        <v>-6.2549644000000001E-2</v>
      </c>
    </row>
    <row r="269" spans="1:42" x14ac:dyDescent="0.2">
      <c r="A269" t="s">
        <v>224</v>
      </c>
      <c r="B269" t="s">
        <v>112</v>
      </c>
      <c r="C269" t="s">
        <v>215</v>
      </c>
      <c r="D269" t="s">
        <v>143</v>
      </c>
      <c r="E269" s="71">
        <v>1.4391661E-2</v>
      </c>
      <c r="F269" s="71">
        <v>1.5981674000000001E-2</v>
      </c>
      <c r="G269" s="71">
        <v>1.9706129999999999E-2</v>
      </c>
      <c r="H269" s="71">
        <v>2.4729609E-2</v>
      </c>
      <c r="I269" s="71">
        <v>2.79212E-2</v>
      </c>
      <c r="J269" s="71">
        <v>2.9943108999999999E-2</v>
      </c>
      <c r="K269" s="71">
        <v>3.1282783000000002E-2</v>
      </c>
      <c r="L269" s="71">
        <v>-2.201614E-2</v>
      </c>
      <c r="M269" s="71">
        <v>-1.5924338E-2</v>
      </c>
      <c r="N269" s="71">
        <v>-8.5934529999999992E-3</v>
      </c>
      <c r="O269" s="71">
        <v>-1.145133E-3</v>
      </c>
      <c r="P269" s="71">
        <v>3.8756099999999998E-3</v>
      </c>
      <c r="Q269" s="71">
        <v>7.7814950000000003E-3</v>
      </c>
      <c r="R269" s="71">
        <v>1.0281294E-2</v>
      </c>
      <c r="S269" s="71">
        <v>5.1997429999999997E-2</v>
      </c>
      <c r="T269" s="71">
        <v>4.9541750000000002E-2</v>
      </c>
      <c r="U269" s="71">
        <v>4.8835209999999997E-2</v>
      </c>
      <c r="V269" s="71">
        <v>5.0969306999999998E-2</v>
      </c>
      <c r="W269" s="71">
        <v>5.2232434000000001E-2</v>
      </c>
      <c r="X269" s="71">
        <v>5.2544779999999999E-2</v>
      </c>
      <c r="Y269" s="71">
        <v>5.2511911000000001E-2</v>
      </c>
      <c r="Z269" s="71">
        <v>-5.1466619999999998E-3</v>
      </c>
      <c r="AA269" s="71">
        <v>-2.629036E-3</v>
      </c>
      <c r="AB269" s="71">
        <v>5.6675900000000001E-4</v>
      </c>
      <c r="AC269" s="71">
        <v>6.703779E-3</v>
      </c>
      <c r="AD269" s="71">
        <v>1.0365416000000001E-2</v>
      </c>
      <c r="AE269" s="71">
        <v>1.2766021000000001E-2</v>
      </c>
      <c r="AF269" s="71">
        <v>1.5095841E-2</v>
      </c>
      <c r="AG269" s="71">
        <v>3.4313691E-2</v>
      </c>
      <c r="AH269" s="71">
        <v>3.4939482000000001E-2</v>
      </c>
      <c r="AI269" s="71">
        <v>3.9211592000000003E-2</v>
      </c>
      <c r="AJ269" s="71">
        <v>4.3078297000000002E-2</v>
      </c>
      <c r="AK269" s="71">
        <v>4.5781987000000003E-2</v>
      </c>
      <c r="AL269" s="71">
        <v>4.7411659000000002E-2</v>
      </c>
      <c r="AM269" s="71">
        <v>4.7727651000000003E-2</v>
      </c>
      <c r="AN269" s="71">
        <v>0.10349522999999999</v>
      </c>
      <c r="AO269" s="71">
        <v>0.198258769</v>
      </c>
      <c r="AP269" s="71">
        <v>-8.9837854999999994E-2</v>
      </c>
    </row>
    <row r="270" spans="1:42" x14ac:dyDescent="0.2">
      <c r="A270" t="s">
        <v>200</v>
      </c>
      <c r="B270" t="s">
        <v>112</v>
      </c>
      <c r="C270" t="s">
        <v>215</v>
      </c>
      <c r="D270" t="s">
        <v>143</v>
      </c>
      <c r="E270" s="71">
        <v>-9.2651839999999992E-3</v>
      </c>
      <c r="F270" s="71">
        <v>-7.1242450000000004E-3</v>
      </c>
      <c r="G270" s="71">
        <v>-2.1302700000000001E-3</v>
      </c>
      <c r="H270" s="71">
        <v>4.739404E-3</v>
      </c>
      <c r="I270" s="71">
        <v>9.3290809999999995E-3</v>
      </c>
      <c r="J270" s="71">
        <v>1.2413143999999999E-2</v>
      </c>
      <c r="K270" s="71">
        <v>1.4569759E-2</v>
      </c>
      <c r="L270" s="71">
        <v>-4.6752025000000003E-2</v>
      </c>
      <c r="M270" s="71">
        <v>-4.0332822999999997E-2</v>
      </c>
      <c r="N270" s="71">
        <v>-3.2109937999999998E-2</v>
      </c>
      <c r="O270" s="71">
        <v>-2.1659599000000002E-2</v>
      </c>
      <c r="P270" s="71">
        <v>-1.4494124000000001E-2</v>
      </c>
      <c r="Q270" s="71">
        <v>-9.7242790000000006E-3</v>
      </c>
      <c r="R270" s="71">
        <v>-5.7740580000000003E-3</v>
      </c>
      <c r="S270" s="71">
        <v>2.9919067000000001E-2</v>
      </c>
      <c r="T270" s="71">
        <v>2.7076864999999999E-2</v>
      </c>
      <c r="U270" s="71">
        <v>2.7865485999999998E-2</v>
      </c>
      <c r="V270" s="71">
        <v>3.1997134000000003E-2</v>
      </c>
      <c r="W270" s="71">
        <v>3.3579343999999997E-2</v>
      </c>
      <c r="X270" s="71">
        <v>3.4926908E-2</v>
      </c>
      <c r="Y270" s="71">
        <v>3.5595019999999998E-2</v>
      </c>
      <c r="Z270" s="71">
        <v>-2.9238770000000001E-2</v>
      </c>
      <c r="AA270" s="71">
        <v>-2.6247579E-2</v>
      </c>
      <c r="AB270" s="71">
        <v>-2.1032581000000002E-2</v>
      </c>
      <c r="AC270" s="71">
        <v>-1.3001897E-2</v>
      </c>
      <c r="AD270" s="71">
        <v>-7.4361970000000003E-3</v>
      </c>
      <c r="AE270" s="71">
        <v>-3.5369160000000002E-3</v>
      </c>
      <c r="AF270" s="71">
        <v>-8.50492E-4</v>
      </c>
      <c r="AG270" s="71">
        <v>1.1119443999999999E-2</v>
      </c>
      <c r="AH270" s="71">
        <v>1.2374837E-2</v>
      </c>
      <c r="AI270" s="71">
        <v>1.7137050000000001E-2</v>
      </c>
      <c r="AJ270" s="71">
        <v>2.2799562999999998E-2</v>
      </c>
      <c r="AK270" s="71">
        <v>2.6377449000000001E-2</v>
      </c>
      <c r="AL270" s="71">
        <v>2.8618619000000001E-2</v>
      </c>
      <c r="AM270" s="71">
        <v>3.0228027000000001E-2</v>
      </c>
      <c r="AN270" s="71">
        <v>0.10945466</v>
      </c>
      <c r="AO270" s="71">
        <v>-0.17072573499999999</v>
      </c>
      <c r="AP270" s="71">
        <v>0.264318212</v>
      </c>
    </row>
    <row r="271" spans="1:42" x14ac:dyDescent="0.2">
      <c r="A271" t="s">
        <v>259</v>
      </c>
      <c r="B271" t="s">
        <v>112</v>
      </c>
      <c r="C271" t="s">
        <v>215</v>
      </c>
      <c r="D271" t="s">
        <v>143</v>
      </c>
      <c r="E271" s="71">
        <v>1.3618827E-2</v>
      </c>
      <c r="F271" s="71">
        <v>1.4895439E-2</v>
      </c>
      <c r="G271" s="71">
        <v>1.7750859000000001E-2</v>
      </c>
      <c r="H271" s="71">
        <v>2.1419524999999998E-2</v>
      </c>
      <c r="I271" s="71">
        <v>2.3705006000000001E-2</v>
      </c>
      <c r="J271" s="71">
        <v>2.5175095000000001E-2</v>
      </c>
      <c r="K271" s="71">
        <v>2.6179075E-2</v>
      </c>
      <c r="L271" s="71">
        <v>-2.4331915999999999E-2</v>
      </c>
      <c r="M271" s="71">
        <v>-1.8960718000000001E-2</v>
      </c>
      <c r="N271" s="71">
        <v>-1.2618569E-2</v>
      </c>
      <c r="O271" s="71">
        <v>-5.4699750000000002E-3</v>
      </c>
      <c r="P271" s="71">
        <v>-6.67451E-4</v>
      </c>
      <c r="Q271" s="71">
        <v>2.7292250000000001E-3</v>
      </c>
      <c r="R271" s="71">
        <v>4.8936099999999996E-3</v>
      </c>
      <c r="S271" s="71">
        <v>5.3151955000000001E-2</v>
      </c>
      <c r="T271" s="71">
        <v>4.9589204999999997E-2</v>
      </c>
      <c r="U271" s="71">
        <v>4.8685678000000003E-2</v>
      </c>
      <c r="V271" s="71">
        <v>4.8859169000000001E-2</v>
      </c>
      <c r="W271" s="71">
        <v>4.8639689E-2</v>
      </c>
      <c r="X271" s="71">
        <v>4.8099101999999998E-2</v>
      </c>
      <c r="Y271" s="71">
        <v>4.7289254000000003E-2</v>
      </c>
      <c r="Z271" s="71">
        <v>-6.92744E-3</v>
      </c>
      <c r="AA271" s="71">
        <v>-5.0061760000000002E-3</v>
      </c>
      <c r="AB271" s="71">
        <v>-2.1400920000000001E-3</v>
      </c>
      <c r="AC271" s="71">
        <v>2.09851E-3</v>
      </c>
      <c r="AD271" s="71">
        <v>5.2322269999999999E-3</v>
      </c>
      <c r="AE271" s="71">
        <v>7.4178179999999996E-3</v>
      </c>
      <c r="AF271" s="71">
        <v>9.3747429999999996E-3</v>
      </c>
      <c r="AG271" s="71">
        <v>3.4590271999999998E-2</v>
      </c>
      <c r="AH271" s="71">
        <v>3.5194942E-2</v>
      </c>
      <c r="AI271" s="71">
        <v>3.8038385000000001E-2</v>
      </c>
      <c r="AJ271" s="71">
        <v>4.1113124000000001E-2</v>
      </c>
      <c r="AK271" s="71">
        <v>4.2517272000000002E-2</v>
      </c>
      <c r="AL271" s="71">
        <v>4.3245409999999998E-2</v>
      </c>
      <c r="AM271" s="71">
        <v>4.3263039000000003E-2</v>
      </c>
      <c r="AN271" s="71">
        <v>0.108054329</v>
      </c>
      <c r="AO271" s="71">
        <v>-2.2304237000000001E-2</v>
      </c>
      <c r="AP271" s="71">
        <v>4.4678503000000001E-2</v>
      </c>
    </row>
    <row r="272" spans="1:42" x14ac:dyDescent="0.2">
      <c r="A272" t="s">
        <v>288</v>
      </c>
      <c r="B272" t="s">
        <v>112</v>
      </c>
      <c r="C272" t="s">
        <v>215</v>
      </c>
      <c r="D272" t="s">
        <v>143</v>
      </c>
      <c r="E272" s="71">
        <v>2.1680116999999999E-2</v>
      </c>
      <c r="F272" s="71">
        <v>2.3397445999999999E-2</v>
      </c>
      <c r="G272" s="71">
        <v>2.7532338999999999E-2</v>
      </c>
      <c r="H272" s="71">
        <v>3.3407330999999998E-2</v>
      </c>
      <c r="I272" s="71">
        <v>3.7413954999999999E-2</v>
      </c>
      <c r="J272" s="71">
        <v>4.0129184999999998E-2</v>
      </c>
      <c r="K272" s="71">
        <v>4.2034387999999999E-2</v>
      </c>
      <c r="L272" s="71">
        <v>-2.1080688E-2</v>
      </c>
      <c r="M272" s="71">
        <v>-1.3948445E-2</v>
      </c>
      <c r="N272" s="71">
        <v>-5.8840749999999999E-3</v>
      </c>
      <c r="O272" s="71">
        <v>3.7673009999999998E-3</v>
      </c>
      <c r="P272" s="71">
        <v>1.0026124000000001E-2</v>
      </c>
      <c r="Q272" s="71">
        <v>1.4780369999999999E-2</v>
      </c>
      <c r="R272" s="71">
        <v>1.8332030999999999E-2</v>
      </c>
      <c r="S272" s="71">
        <v>6.6334707000000007E-2</v>
      </c>
      <c r="T272" s="71">
        <v>6.2645009000000001E-2</v>
      </c>
      <c r="U272" s="71">
        <v>6.2485009000000001E-2</v>
      </c>
      <c r="V272" s="71">
        <v>6.3621286999999999E-2</v>
      </c>
      <c r="W272" s="71">
        <v>6.5339014000000001E-2</v>
      </c>
      <c r="X272" s="71">
        <v>6.5925976999999997E-2</v>
      </c>
      <c r="Y272" s="71">
        <v>6.6274008999999995E-2</v>
      </c>
      <c r="Z272" s="71">
        <v>6.4639299999999999E-4</v>
      </c>
      <c r="AA272" s="71">
        <v>2.4813299999999999E-3</v>
      </c>
      <c r="AB272" s="71">
        <v>6.7540810000000003E-3</v>
      </c>
      <c r="AC272" s="71">
        <v>1.3100659000000001E-2</v>
      </c>
      <c r="AD272" s="71">
        <v>1.9094831E-2</v>
      </c>
      <c r="AE272" s="71">
        <v>2.2299027999999999E-2</v>
      </c>
      <c r="AF272" s="71">
        <v>2.6008289E-2</v>
      </c>
      <c r="AG272" s="71">
        <v>4.3156054999999999E-2</v>
      </c>
      <c r="AH272" s="71">
        <v>4.4750047000000001E-2</v>
      </c>
      <c r="AI272" s="71">
        <v>4.8739533000000002E-2</v>
      </c>
      <c r="AJ272" s="71">
        <v>5.4120990000000001E-2</v>
      </c>
      <c r="AK272" s="71">
        <v>5.6062352000000003E-2</v>
      </c>
      <c r="AL272" s="71">
        <v>5.8270404999999997E-2</v>
      </c>
      <c r="AM272" s="71">
        <v>5.8310652999999997E-2</v>
      </c>
      <c r="AN272" s="71">
        <v>0.122194334</v>
      </c>
      <c r="AO272" s="71">
        <v>0.122569637</v>
      </c>
      <c r="AP272" s="71">
        <v>0.120660535</v>
      </c>
    </row>
    <row r="273" spans="1:42" x14ac:dyDescent="0.2">
      <c r="A273" t="s">
        <v>272</v>
      </c>
      <c r="B273" t="s">
        <v>112</v>
      </c>
      <c r="C273" t="s">
        <v>215</v>
      </c>
      <c r="D273" t="s">
        <v>143</v>
      </c>
      <c r="E273" s="71">
        <v>5.8337450000000004E-3</v>
      </c>
      <c r="F273" s="71">
        <v>8.2341429999999993E-3</v>
      </c>
      <c r="G273" s="71">
        <v>1.3919114999999999E-2</v>
      </c>
      <c r="H273" s="71">
        <v>2.1832824000000001E-2</v>
      </c>
      <c r="I273" s="71">
        <v>2.7142882E-2</v>
      </c>
      <c r="J273" s="71">
        <v>3.0712247000000002E-2</v>
      </c>
      <c r="K273" s="71">
        <v>3.3207296999999997E-2</v>
      </c>
      <c r="L273" s="71">
        <v>-3.0266380999999998E-2</v>
      </c>
      <c r="M273" s="71">
        <v>-2.4179895999999999E-2</v>
      </c>
      <c r="N273" s="71">
        <v>-1.5339321E-2</v>
      </c>
      <c r="O273" s="71">
        <v>-3.6836740000000001E-3</v>
      </c>
      <c r="P273" s="71">
        <v>3.702103E-3</v>
      </c>
      <c r="Q273" s="71">
        <v>9.1359830000000003E-3</v>
      </c>
      <c r="R273" s="71">
        <v>1.3068738999999999E-2</v>
      </c>
      <c r="S273" s="71">
        <v>4.3770068000000002E-2</v>
      </c>
      <c r="T273" s="71">
        <v>4.1574264E-2</v>
      </c>
      <c r="U273" s="71">
        <v>4.3728423000000002E-2</v>
      </c>
      <c r="V273" s="71">
        <v>4.8183489000000003E-2</v>
      </c>
      <c r="W273" s="71">
        <v>5.0787435999999998E-2</v>
      </c>
      <c r="X273" s="71">
        <v>5.2286847999999997E-2</v>
      </c>
      <c r="Y273" s="71">
        <v>5.3595152E-2</v>
      </c>
      <c r="Z273" s="71">
        <v>-1.263711E-2</v>
      </c>
      <c r="AA273" s="71">
        <v>-1.0359141000000001E-2</v>
      </c>
      <c r="AB273" s="71">
        <v>-4.0934320000000001E-3</v>
      </c>
      <c r="AC273" s="71">
        <v>4.4436040000000003E-3</v>
      </c>
      <c r="AD273" s="71">
        <v>9.8945769999999999E-3</v>
      </c>
      <c r="AE273" s="71">
        <v>1.4111037999999999E-2</v>
      </c>
      <c r="AF273" s="71">
        <v>1.7772916E-2</v>
      </c>
      <c r="AG273" s="71">
        <v>2.4650109E-2</v>
      </c>
      <c r="AH273" s="71">
        <v>2.7176754000000001E-2</v>
      </c>
      <c r="AI273" s="71">
        <v>3.2257512000000002E-2</v>
      </c>
      <c r="AJ273" s="71">
        <v>3.9523120000000002E-2</v>
      </c>
      <c r="AK273" s="71">
        <v>4.4685846000000001E-2</v>
      </c>
      <c r="AL273" s="71">
        <v>4.7585188E-2</v>
      </c>
      <c r="AM273" s="71">
        <v>4.8875715E-2</v>
      </c>
      <c r="AN273" s="71">
        <v>0.10284296800000001</v>
      </c>
      <c r="AO273" s="71">
        <v>0.25775076200000002</v>
      </c>
      <c r="AP273" s="71">
        <v>1.2972809E-2</v>
      </c>
    </row>
    <row r="274" spans="1:42" x14ac:dyDescent="0.2">
      <c r="A274" t="s">
        <v>178</v>
      </c>
      <c r="B274" t="s">
        <v>112</v>
      </c>
      <c r="C274" t="s">
        <v>215</v>
      </c>
      <c r="D274" t="s">
        <v>143</v>
      </c>
      <c r="E274" s="71">
        <v>1.1664271E-2</v>
      </c>
      <c r="F274" s="71">
        <v>1.4259696000000001E-2</v>
      </c>
      <c r="G274" s="71">
        <v>2.0223736999999999E-2</v>
      </c>
      <c r="H274" s="71">
        <v>2.8327822999999999E-2</v>
      </c>
      <c r="I274" s="71">
        <v>3.3711432999999999E-2</v>
      </c>
      <c r="J274" s="71">
        <v>3.7323236000000003E-2</v>
      </c>
      <c r="K274" s="71">
        <v>3.9847731999999997E-2</v>
      </c>
      <c r="L274" s="71">
        <v>-3.3003695999999999E-2</v>
      </c>
      <c r="M274" s="71">
        <v>-2.5276143000000001E-2</v>
      </c>
      <c r="N274" s="71">
        <v>-1.453541E-2</v>
      </c>
      <c r="O274" s="71">
        <v>-2.153805E-3</v>
      </c>
      <c r="P274" s="71">
        <v>5.572324E-3</v>
      </c>
      <c r="Q274" s="71">
        <v>1.1618392E-2</v>
      </c>
      <c r="R274" s="71">
        <v>1.5567978999999999E-2</v>
      </c>
      <c r="S274" s="71">
        <v>5.7800058000000001E-2</v>
      </c>
      <c r="T274" s="71">
        <v>5.5329428999999999E-2</v>
      </c>
      <c r="U274" s="71">
        <v>5.6307223000000003E-2</v>
      </c>
      <c r="V274" s="71">
        <v>5.9474419000000001E-2</v>
      </c>
      <c r="W274" s="71">
        <v>6.2081853999999999E-2</v>
      </c>
      <c r="X274" s="71">
        <v>6.3644768000000004E-2</v>
      </c>
      <c r="Y274" s="71">
        <v>6.4552911000000004E-2</v>
      </c>
      <c r="Z274" s="71">
        <v>-9.4985109999999994E-3</v>
      </c>
      <c r="AA274" s="71">
        <v>-6.7309550000000003E-3</v>
      </c>
      <c r="AB274" s="71">
        <v>-7.5294100000000003E-4</v>
      </c>
      <c r="AC274" s="71">
        <v>7.1052800000000003E-3</v>
      </c>
      <c r="AD274" s="71">
        <v>1.3580966999999999E-2</v>
      </c>
      <c r="AE274" s="71">
        <v>1.7914576000000001E-2</v>
      </c>
      <c r="AF274" s="71">
        <v>2.1038496E-2</v>
      </c>
      <c r="AG274" s="71">
        <v>3.3279357000000002E-2</v>
      </c>
      <c r="AH274" s="71">
        <v>3.5694016000000002E-2</v>
      </c>
      <c r="AI274" s="71">
        <v>4.1640481E-2</v>
      </c>
      <c r="AJ274" s="71">
        <v>4.9997584999999997E-2</v>
      </c>
      <c r="AK274" s="71">
        <v>5.4241576E-2</v>
      </c>
      <c r="AL274" s="71">
        <v>5.7101926999999997E-2</v>
      </c>
      <c r="AM274" s="71">
        <v>5.9003541E-2</v>
      </c>
      <c r="AN274" s="71">
        <v>0.12848415799999999</v>
      </c>
      <c r="AO274" s="71">
        <v>5.6542436000000001E-2</v>
      </c>
      <c r="AP274" s="71">
        <v>0.220119117</v>
      </c>
    </row>
    <row r="275" spans="1:42" x14ac:dyDescent="0.2">
      <c r="A275" t="s">
        <v>191</v>
      </c>
      <c r="B275" t="s">
        <v>112</v>
      </c>
      <c r="C275" t="s">
        <v>215</v>
      </c>
      <c r="D275" t="s">
        <v>143</v>
      </c>
      <c r="E275" s="71">
        <v>3.2059430999999999E-2</v>
      </c>
      <c r="F275" s="71">
        <v>3.4166097999999999E-2</v>
      </c>
      <c r="G275" s="71">
        <v>3.9515852999999997E-2</v>
      </c>
      <c r="H275" s="71">
        <v>4.7583222000000001E-2</v>
      </c>
      <c r="I275" s="71">
        <v>5.3332566999999997E-2</v>
      </c>
      <c r="J275" s="71">
        <v>5.7315826E-2</v>
      </c>
      <c r="K275" s="71">
        <v>6.0140251999999998E-2</v>
      </c>
      <c r="L275" s="71">
        <v>-1.0636058E-2</v>
      </c>
      <c r="M275" s="71">
        <v>-3.7166999999999999E-3</v>
      </c>
      <c r="N275" s="71">
        <v>6.1910209999999997E-3</v>
      </c>
      <c r="O275" s="71">
        <v>1.7821211E-2</v>
      </c>
      <c r="P275" s="71">
        <v>2.5695111999999999E-2</v>
      </c>
      <c r="Q275" s="71">
        <v>3.1505158999999998E-2</v>
      </c>
      <c r="R275" s="71">
        <v>3.6135512000000002E-2</v>
      </c>
      <c r="S275" s="71">
        <v>7.7464592999999998E-2</v>
      </c>
      <c r="T275" s="71">
        <v>7.3652454000000006E-2</v>
      </c>
      <c r="U275" s="71">
        <v>7.4357089000000001E-2</v>
      </c>
      <c r="V275" s="71">
        <v>7.8574384999999997E-2</v>
      </c>
      <c r="W275" s="71">
        <v>8.2180609000000002E-2</v>
      </c>
      <c r="X275" s="71">
        <v>8.4106003999999998E-2</v>
      </c>
      <c r="Y275" s="71">
        <v>8.4820962999999999E-2</v>
      </c>
      <c r="Z275" s="71">
        <v>9.1129450000000008E-3</v>
      </c>
      <c r="AA275" s="71">
        <v>1.1685522E-2</v>
      </c>
      <c r="AB275" s="71">
        <v>1.7743785000000002E-2</v>
      </c>
      <c r="AC275" s="71">
        <v>2.7021374000000001E-2</v>
      </c>
      <c r="AD275" s="71">
        <v>3.3335898000000003E-2</v>
      </c>
      <c r="AE275" s="71">
        <v>3.8562287000000001E-2</v>
      </c>
      <c r="AF275" s="71">
        <v>4.2137196000000002E-2</v>
      </c>
      <c r="AG275" s="71">
        <v>5.5527644000000001E-2</v>
      </c>
      <c r="AH275" s="71">
        <v>5.7146244999999998E-2</v>
      </c>
      <c r="AI275" s="71">
        <v>6.1753534999999998E-2</v>
      </c>
      <c r="AJ275" s="71">
        <v>6.8556690000000003E-2</v>
      </c>
      <c r="AK275" s="71">
        <v>7.3716278999999996E-2</v>
      </c>
      <c r="AL275" s="71">
        <v>7.6407921000000004E-2</v>
      </c>
      <c r="AM275" s="71">
        <v>7.8454509000000006E-2</v>
      </c>
      <c r="AN275" s="71">
        <v>0.121627451</v>
      </c>
      <c r="AO275" s="71">
        <v>0.25412480399999998</v>
      </c>
      <c r="AP275" s="71">
        <v>0.17189282</v>
      </c>
    </row>
    <row r="276" spans="1:42" x14ac:dyDescent="0.2">
      <c r="A276" t="s">
        <v>254</v>
      </c>
      <c r="B276" t="s">
        <v>112</v>
      </c>
      <c r="C276" t="s">
        <v>396</v>
      </c>
      <c r="D276" t="s">
        <v>143</v>
      </c>
      <c r="E276" s="71">
        <v>9.6999410000000001E-3</v>
      </c>
      <c r="F276" s="71">
        <v>1.2808442E-2</v>
      </c>
      <c r="G276" s="71">
        <v>2.0030974999999999E-2</v>
      </c>
      <c r="H276" s="71">
        <v>2.9804111000000001E-2</v>
      </c>
      <c r="I276" s="71">
        <v>3.6180495999999999E-2</v>
      </c>
      <c r="J276" s="71">
        <v>4.0391206999999998E-2</v>
      </c>
      <c r="K276" s="71">
        <v>4.3305993000000001E-2</v>
      </c>
      <c r="L276" s="71">
        <v>-3.548795E-3</v>
      </c>
      <c r="M276" s="71">
        <v>5.24403E-4</v>
      </c>
      <c r="N276" s="71">
        <v>7.7504380000000001E-3</v>
      </c>
      <c r="O276" s="71">
        <v>1.7059872E-2</v>
      </c>
      <c r="P276" s="71">
        <v>2.3861351999999999E-2</v>
      </c>
      <c r="Q276" s="71">
        <v>2.8131989999999999E-2</v>
      </c>
      <c r="R276" s="71">
        <v>3.1537951000000002E-2</v>
      </c>
      <c r="S276" s="71">
        <v>2.3063881000000001E-2</v>
      </c>
      <c r="T276" s="71">
        <v>2.5357443E-2</v>
      </c>
      <c r="U276" s="71">
        <v>3.2550056000000001E-2</v>
      </c>
      <c r="V276" s="71">
        <v>4.2618192999999999E-2</v>
      </c>
      <c r="W276" s="71">
        <v>4.8836352E-2</v>
      </c>
      <c r="X276" s="71">
        <v>5.2774405000000003E-2</v>
      </c>
      <c r="Y276" s="71">
        <v>5.5185827999999999E-2</v>
      </c>
      <c r="Z276" s="71">
        <v>2.2960499999999999E-4</v>
      </c>
      <c r="AA276" s="71">
        <v>3.4609100000000002E-3</v>
      </c>
      <c r="AB276" s="71">
        <v>9.9063569999999993E-3</v>
      </c>
      <c r="AC276" s="71">
        <v>1.9099820999999999E-2</v>
      </c>
      <c r="AD276" s="71">
        <v>2.4966867E-2</v>
      </c>
      <c r="AE276" s="71">
        <v>2.9348236E-2</v>
      </c>
      <c r="AF276" s="71">
        <v>3.2636601000000001E-2</v>
      </c>
      <c r="AG276" s="71">
        <v>1.9260001999999998E-2</v>
      </c>
      <c r="AH276" s="71">
        <v>2.2243186000000002E-2</v>
      </c>
      <c r="AI276" s="71">
        <v>3.0257119999999998E-2</v>
      </c>
      <c r="AJ276" s="71">
        <v>4.0620965000000002E-2</v>
      </c>
      <c r="AK276" s="71">
        <v>4.7516844000000003E-2</v>
      </c>
      <c r="AL276" s="71">
        <v>5.1552623999999998E-2</v>
      </c>
      <c r="AM276" s="71">
        <v>5.4085532999999998E-2</v>
      </c>
      <c r="AN276" s="71">
        <v>3.3251492000000001E-2</v>
      </c>
      <c r="AO276" s="71">
        <v>0.31670162000000002</v>
      </c>
      <c r="AP276" s="71">
        <v>0.113825959</v>
      </c>
    </row>
    <row r="277" spans="1:42" x14ac:dyDescent="0.2">
      <c r="A277" t="s">
        <v>214</v>
      </c>
      <c r="B277" t="s">
        <v>112</v>
      </c>
      <c r="C277" t="s">
        <v>215</v>
      </c>
      <c r="D277" t="s">
        <v>143</v>
      </c>
      <c r="E277" s="71">
        <v>2.4749397999999999E-2</v>
      </c>
      <c r="F277" s="71">
        <v>2.5940299E-2</v>
      </c>
      <c r="G277" s="71">
        <v>2.8849244E-2</v>
      </c>
      <c r="H277" s="71">
        <v>3.3068776000000001E-2</v>
      </c>
      <c r="I277" s="71">
        <v>3.6010741999999998E-2</v>
      </c>
      <c r="J277" s="71">
        <v>3.8038015000000001E-2</v>
      </c>
      <c r="K277" s="71">
        <v>3.9476870999999997E-2</v>
      </c>
      <c r="L277" s="71">
        <v>-5.8341169999999998E-3</v>
      </c>
      <c r="M277" s="71">
        <v>-1.674247E-3</v>
      </c>
      <c r="N277" s="71">
        <v>3.6467890000000001E-3</v>
      </c>
      <c r="O277" s="71">
        <v>1.0551725E-2</v>
      </c>
      <c r="P277" s="71">
        <v>1.5154851E-2</v>
      </c>
      <c r="Q277" s="71">
        <v>1.868804E-2</v>
      </c>
      <c r="R277" s="71">
        <v>2.1058049999999998E-2</v>
      </c>
      <c r="S277" s="71">
        <v>5.6383034999999998E-2</v>
      </c>
      <c r="T277" s="71">
        <v>5.3609286999999999E-2</v>
      </c>
      <c r="U277" s="71">
        <v>5.4307090000000002E-2</v>
      </c>
      <c r="V277" s="71">
        <v>5.5914181E-2</v>
      </c>
      <c r="W277" s="71">
        <v>5.7417751000000003E-2</v>
      </c>
      <c r="X277" s="71">
        <v>5.8059541999999999E-2</v>
      </c>
      <c r="Y277" s="71">
        <v>5.8309996000000003E-2</v>
      </c>
      <c r="Z277" s="71">
        <v>8.4570979999999997E-3</v>
      </c>
      <c r="AA277" s="71">
        <v>9.8916460000000005E-3</v>
      </c>
      <c r="AB277" s="71">
        <v>1.271516E-2</v>
      </c>
      <c r="AC277" s="71">
        <v>1.6405692999999999E-2</v>
      </c>
      <c r="AD277" s="71">
        <v>1.9598183000000002E-2</v>
      </c>
      <c r="AE277" s="71">
        <v>2.2116442E-2</v>
      </c>
      <c r="AF277" s="71">
        <v>2.4294732999999999E-2</v>
      </c>
      <c r="AG277" s="71">
        <v>4.1305082999999999E-2</v>
      </c>
      <c r="AH277" s="71">
        <v>4.2243897000000002E-2</v>
      </c>
      <c r="AI277" s="71">
        <v>4.5240321999999999E-2</v>
      </c>
      <c r="AJ277" s="71">
        <v>5.0005037000000002E-2</v>
      </c>
      <c r="AK277" s="71">
        <v>5.2687332000000003E-2</v>
      </c>
      <c r="AL277" s="71">
        <v>5.4207539999999999E-2</v>
      </c>
      <c r="AM277" s="71">
        <v>5.4884268999999999E-2</v>
      </c>
      <c r="AN277" s="71">
        <v>8.7372243000000002E-2</v>
      </c>
      <c r="AO277" s="71">
        <v>0.25494703200000002</v>
      </c>
      <c r="AP277" s="71">
        <v>0.249990556</v>
      </c>
    </row>
    <row r="278" spans="1:42" x14ac:dyDescent="0.2">
      <c r="A278" t="s">
        <v>164</v>
      </c>
      <c r="B278" t="s">
        <v>112</v>
      </c>
      <c r="C278" t="s">
        <v>396</v>
      </c>
      <c r="D278" t="s">
        <v>143</v>
      </c>
      <c r="E278" s="71">
        <v>4.335523E-3</v>
      </c>
      <c r="F278" s="71">
        <v>6.5131190000000004E-3</v>
      </c>
      <c r="G278" s="71">
        <v>1.185751E-2</v>
      </c>
      <c r="H278" s="71">
        <v>1.9667028999999999E-2</v>
      </c>
      <c r="I278" s="71">
        <v>2.5154233000000002E-2</v>
      </c>
      <c r="J278" s="71">
        <v>2.8956889999999999E-2</v>
      </c>
      <c r="K278" s="71">
        <v>3.1666635999999998E-2</v>
      </c>
      <c r="L278" s="71">
        <v>-2.3918858000000001E-2</v>
      </c>
      <c r="M278" s="71">
        <v>-1.856586E-2</v>
      </c>
      <c r="N278" s="71">
        <v>-1.0425060999999999E-2</v>
      </c>
      <c r="O278" s="71">
        <v>-4.1860299999999998E-4</v>
      </c>
      <c r="P278" s="71">
        <v>6.7606469999999998E-3</v>
      </c>
      <c r="Q278" s="71">
        <v>1.1621863E-2</v>
      </c>
      <c r="R278" s="71">
        <v>1.5487434E-2</v>
      </c>
      <c r="S278" s="71">
        <v>3.3394980999999997E-2</v>
      </c>
      <c r="T278" s="71">
        <v>3.1882456000000003E-2</v>
      </c>
      <c r="U278" s="71">
        <v>3.5036562E-2</v>
      </c>
      <c r="V278" s="71">
        <v>4.0314072999999999E-2</v>
      </c>
      <c r="W278" s="71">
        <v>4.3955538000000002E-2</v>
      </c>
      <c r="X278" s="71">
        <v>4.6396802000000001E-2</v>
      </c>
      <c r="Y278" s="71">
        <v>4.8137104E-2</v>
      </c>
      <c r="Z278" s="71">
        <v>-1.215569E-2</v>
      </c>
      <c r="AA278" s="71">
        <v>-9.2358709999999997E-3</v>
      </c>
      <c r="AB278" s="71">
        <v>-3.8471590000000002E-3</v>
      </c>
      <c r="AC278" s="71">
        <v>4.4857619999999999E-3</v>
      </c>
      <c r="AD278" s="71">
        <v>1.0252077E-2</v>
      </c>
      <c r="AE278" s="71">
        <v>1.5424124000000001E-2</v>
      </c>
      <c r="AF278" s="71">
        <v>1.8704717999999999E-2</v>
      </c>
      <c r="AG278" s="71">
        <v>2.1101900999999999E-2</v>
      </c>
      <c r="AH278" s="71">
        <v>2.2512618000000002E-2</v>
      </c>
      <c r="AI278" s="71">
        <v>2.7809817000000001E-2</v>
      </c>
      <c r="AJ278" s="71">
        <v>3.5077711999999997E-2</v>
      </c>
      <c r="AK278" s="71">
        <v>4.0276089000000001E-2</v>
      </c>
      <c r="AL278" s="71">
        <v>4.2670064000000001E-2</v>
      </c>
      <c r="AM278" s="71">
        <v>4.4793533000000003E-2</v>
      </c>
      <c r="AN278" s="71">
        <v>7.7191539000000003E-2</v>
      </c>
      <c r="AO278" s="71">
        <v>0.17230336900000001</v>
      </c>
      <c r="AP278" s="71">
        <v>9.2131460000000002E-3</v>
      </c>
    </row>
    <row r="279" spans="1:42" x14ac:dyDescent="0.2">
      <c r="A279" t="s">
        <v>345</v>
      </c>
      <c r="B279" t="s">
        <v>112</v>
      </c>
      <c r="C279" t="s">
        <v>396</v>
      </c>
      <c r="D279" t="s">
        <v>143</v>
      </c>
      <c r="E279" s="71">
        <v>-5.7107200000000005E-4</v>
      </c>
      <c r="F279" s="71">
        <v>3.3527610000000001E-3</v>
      </c>
      <c r="G279" s="71">
        <v>1.2787819000000001E-2</v>
      </c>
      <c r="H279" s="71">
        <v>2.6261686999999999E-2</v>
      </c>
      <c r="I279" s="71">
        <v>3.5506725000000003E-2</v>
      </c>
      <c r="J279" s="71">
        <v>4.1798592000000002E-2</v>
      </c>
      <c r="K279" s="71">
        <v>4.6225785999999998E-2</v>
      </c>
      <c r="L279" s="71">
        <v>-3.4513215999999999E-2</v>
      </c>
      <c r="M279" s="71">
        <v>-2.7245858000000001E-2</v>
      </c>
      <c r="N279" s="71">
        <v>-1.4276909000000001E-2</v>
      </c>
      <c r="O279" s="71">
        <v>1.9780420000000002E-3</v>
      </c>
      <c r="P279" s="71">
        <v>1.3013718000000001E-2</v>
      </c>
      <c r="Q279" s="71">
        <v>2.0862169E-2</v>
      </c>
      <c r="R279" s="71">
        <v>2.6827981000000001E-2</v>
      </c>
      <c r="S279" s="71">
        <v>3.4479285999999998E-2</v>
      </c>
      <c r="T279" s="71">
        <v>3.4772565999999998E-2</v>
      </c>
      <c r="U279" s="71">
        <v>4.0519757000000003E-2</v>
      </c>
      <c r="V279" s="71">
        <v>5.1550987999999999E-2</v>
      </c>
      <c r="W279" s="71">
        <v>5.8590695999999998E-2</v>
      </c>
      <c r="X279" s="71">
        <v>6.3043062999999996E-2</v>
      </c>
      <c r="Y279" s="71">
        <v>6.5967625000000002E-2</v>
      </c>
      <c r="Z279" s="71">
        <v>-1.8972712999999999E-2</v>
      </c>
      <c r="AA279" s="71">
        <v>-1.4159193E-2</v>
      </c>
      <c r="AB279" s="71">
        <v>-5.0759029999999997E-3</v>
      </c>
      <c r="AC279" s="71">
        <v>9.7481640000000001E-3</v>
      </c>
      <c r="AD279" s="71">
        <v>1.9429957000000001E-2</v>
      </c>
      <c r="AE279" s="71">
        <v>2.6665175999999999E-2</v>
      </c>
      <c r="AF279" s="71">
        <v>3.2001974000000002E-2</v>
      </c>
      <c r="AG279" s="71">
        <v>1.8175628999999999E-2</v>
      </c>
      <c r="AH279" s="71">
        <v>2.1175751999999999E-2</v>
      </c>
      <c r="AI279" s="71">
        <v>3.0972355999999999E-2</v>
      </c>
      <c r="AJ279" s="71">
        <v>4.3045327000000001E-2</v>
      </c>
      <c r="AK279" s="71">
        <v>5.1836990999999999E-2</v>
      </c>
      <c r="AL279" s="71">
        <v>5.7154936000000003E-2</v>
      </c>
      <c r="AM279" s="71">
        <v>6.0645694E-2</v>
      </c>
      <c r="AN279" s="71">
        <v>9.7023884000000005E-2</v>
      </c>
      <c r="AO279" s="71">
        <v>0.18561478100000001</v>
      </c>
      <c r="AP279" s="71">
        <v>0.151643905</v>
      </c>
    </row>
    <row r="280" spans="1:42" x14ac:dyDescent="0.2">
      <c r="A280" t="s">
        <v>224</v>
      </c>
      <c r="B280" t="s">
        <v>112</v>
      </c>
      <c r="C280" t="s">
        <v>344</v>
      </c>
      <c r="D280" t="s">
        <v>225</v>
      </c>
      <c r="E280" s="71">
        <v>4.1885257000000002E-2</v>
      </c>
      <c r="F280" s="71">
        <v>4.1201234000000003E-2</v>
      </c>
      <c r="G280" s="71">
        <v>3.9441943E-2</v>
      </c>
      <c r="H280" s="71">
        <v>3.6676526000000001E-2</v>
      </c>
      <c r="I280" s="71">
        <v>3.4565448999999998E-2</v>
      </c>
      <c r="J280" s="71">
        <v>3.3001065000000003E-2</v>
      </c>
      <c r="K280" s="71">
        <v>3.1828402999999998E-2</v>
      </c>
      <c r="L280" s="71">
        <v>2.9392834E-2</v>
      </c>
      <c r="M280" s="71">
        <v>3.0448967E-2</v>
      </c>
      <c r="N280" s="71">
        <v>2.9514852000000001E-2</v>
      </c>
      <c r="O280" s="71">
        <v>2.7211725999999999E-2</v>
      </c>
      <c r="P280" s="71">
        <v>2.5249170000000001E-2</v>
      </c>
      <c r="Q280" s="71">
        <v>2.4057215999999999E-2</v>
      </c>
      <c r="R280" s="71">
        <v>2.3056265999999999E-2</v>
      </c>
      <c r="S280" s="71">
        <v>5.4492777999999999E-2</v>
      </c>
      <c r="T280" s="71">
        <v>5.2302148999999999E-2</v>
      </c>
      <c r="U280" s="71">
        <v>4.9635876000000002E-2</v>
      </c>
      <c r="V280" s="71">
        <v>4.6317256000000001E-2</v>
      </c>
      <c r="W280" s="71">
        <v>4.3859523999999997E-2</v>
      </c>
      <c r="X280" s="71">
        <v>4.1939373000000002E-2</v>
      </c>
      <c r="Y280" s="71">
        <v>4.0619357000000002E-2</v>
      </c>
      <c r="Z280" s="71">
        <v>3.7452909999999999E-2</v>
      </c>
      <c r="AA280" s="71">
        <v>3.6607927999999998E-2</v>
      </c>
      <c r="AB280" s="71">
        <v>3.3853208000000003E-2</v>
      </c>
      <c r="AC280" s="71">
        <v>2.9953664000000001E-2</v>
      </c>
      <c r="AD280" s="71">
        <v>2.7630886E-2</v>
      </c>
      <c r="AE280" s="71">
        <v>2.5695188000000001E-2</v>
      </c>
      <c r="AF280" s="71">
        <v>2.4472951E-2</v>
      </c>
      <c r="AG280" s="71">
        <v>4.6336550999999997E-2</v>
      </c>
      <c r="AH280" s="71">
        <v>4.5814713E-2</v>
      </c>
      <c r="AI280" s="71">
        <v>4.5060892999999998E-2</v>
      </c>
      <c r="AJ280" s="71">
        <v>4.3443173000000002E-2</v>
      </c>
      <c r="AK280" s="71">
        <v>4.1546854000000001E-2</v>
      </c>
      <c r="AL280" s="71">
        <v>4.0358735E-2</v>
      </c>
      <c r="AM280" s="71">
        <v>3.9236682000000002E-2</v>
      </c>
      <c r="AN280" s="71">
        <v>3.7018687000000002E-2</v>
      </c>
      <c r="AO280" s="71">
        <v>1</v>
      </c>
      <c r="AP280" s="71">
        <v>-0.13027122999999999</v>
      </c>
    </row>
    <row r="281" spans="1:42" x14ac:dyDescent="0.2">
      <c r="A281" t="s">
        <v>240</v>
      </c>
      <c r="B281" t="s">
        <v>112</v>
      </c>
      <c r="C281" t="s">
        <v>341</v>
      </c>
      <c r="D281" t="s">
        <v>241</v>
      </c>
      <c r="E281" s="71">
        <v>2.8588413999999999E-2</v>
      </c>
      <c r="F281" s="71">
        <v>2.8308630000000001E-2</v>
      </c>
      <c r="G281" s="71">
        <v>2.7636050999999998E-2</v>
      </c>
      <c r="H281" s="71">
        <v>2.6684045999999999E-2</v>
      </c>
      <c r="I281" s="71">
        <v>2.6037812E-2</v>
      </c>
      <c r="J281" s="71">
        <v>2.5601268E-2</v>
      </c>
      <c r="K281" s="71">
        <v>2.5295615E-2</v>
      </c>
      <c r="L281" s="71">
        <v>1.5219874E-2</v>
      </c>
      <c r="M281" s="71">
        <v>1.6302107999999999E-2</v>
      </c>
      <c r="N281" s="71">
        <v>1.5967134000000001E-2</v>
      </c>
      <c r="O281" s="71">
        <v>1.3815513999999999E-2</v>
      </c>
      <c r="P281" s="71">
        <v>1.1406407E-2</v>
      </c>
      <c r="Q281" s="71">
        <v>9.0352409999999994E-3</v>
      </c>
      <c r="R281" s="71">
        <v>6.60847E-3</v>
      </c>
      <c r="S281" s="71">
        <v>4.2283095999999999E-2</v>
      </c>
      <c r="T281" s="71">
        <v>4.0354226E-2</v>
      </c>
      <c r="U281" s="71">
        <v>3.9507278E-2</v>
      </c>
      <c r="V281" s="71">
        <v>3.9765158000000002E-2</v>
      </c>
      <c r="W281" s="71">
        <v>4.1192807999999997E-2</v>
      </c>
      <c r="X281" s="71">
        <v>4.2823018999999997E-2</v>
      </c>
      <c r="Y281" s="71">
        <v>4.4464091999999997E-2</v>
      </c>
      <c r="Z281" s="71">
        <v>2.3455052000000001E-2</v>
      </c>
      <c r="AA281" s="71">
        <v>2.2616394000000001E-2</v>
      </c>
      <c r="AB281" s="71">
        <v>2.0144122E-2</v>
      </c>
      <c r="AC281" s="71">
        <v>1.6251142E-2</v>
      </c>
      <c r="AD281" s="71">
        <v>1.3322129E-2</v>
      </c>
      <c r="AE281" s="71">
        <v>1.083425E-2</v>
      </c>
      <c r="AF281" s="71">
        <v>8.9678520000000001E-3</v>
      </c>
      <c r="AG281" s="71">
        <v>3.3747378000000001E-2</v>
      </c>
      <c r="AH281" s="71">
        <v>3.4032785000000003E-2</v>
      </c>
      <c r="AI281" s="71">
        <v>3.5183126000000002E-2</v>
      </c>
      <c r="AJ281" s="71">
        <v>3.7224068999999999E-2</v>
      </c>
      <c r="AK281" s="71">
        <v>3.8912930999999998E-2</v>
      </c>
      <c r="AL281" s="71">
        <v>4.0583895000000002E-2</v>
      </c>
      <c r="AM281" s="71">
        <v>4.1887623999999998E-2</v>
      </c>
      <c r="AN281" s="71">
        <v>4.0091916999999998E-2</v>
      </c>
      <c r="AO281" s="71">
        <v>1</v>
      </c>
      <c r="AP281" s="71">
        <v>-0.17241362800000001</v>
      </c>
    </row>
    <row r="282" spans="1:42" x14ac:dyDescent="0.2">
      <c r="A282" t="s">
        <v>200</v>
      </c>
      <c r="B282" t="s">
        <v>112</v>
      </c>
      <c r="C282" t="s">
        <v>355</v>
      </c>
      <c r="D282" t="s">
        <v>203</v>
      </c>
      <c r="E282" s="71">
        <v>1.043582E-2</v>
      </c>
      <c r="F282" s="71">
        <v>1.0846376E-2</v>
      </c>
      <c r="G282" s="71">
        <v>1.1655092000000001E-2</v>
      </c>
      <c r="H282" s="71">
        <v>1.2552738000000001E-2</v>
      </c>
      <c r="I282" s="71">
        <v>1.3058662E-2</v>
      </c>
      <c r="J282" s="71">
        <v>1.3371706000000001E-2</v>
      </c>
      <c r="K282" s="71">
        <v>1.3582587E-2</v>
      </c>
      <c r="L282" s="71">
        <v>-2.3383789999999998E-3</v>
      </c>
      <c r="M282" s="71">
        <v>-1.4549699999999999E-4</v>
      </c>
      <c r="N282" s="71">
        <v>1.4379729999999999E-3</v>
      </c>
      <c r="O282" s="71">
        <v>3.340052E-3</v>
      </c>
      <c r="P282" s="71">
        <v>4.5579119999999999E-3</v>
      </c>
      <c r="Q282" s="71">
        <v>5.4351249999999999E-3</v>
      </c>
      <c r="R282" s="71">
        <v>6.1269430000000001E-3</v>
      </c>
      <c r="S282" s="71">
        <v>2.3118343999999999E-2</v>
      </c>
      <c r="T282" s="71">
        <v>2.2048557999999999E-2</v>
      </c>
      <c r="U282" s="71">
        <v>2.2026255000000002E-2</v>
      </c>
      <c r="V282" s="71">
        <v>2.1791002E-2</v>
      </c>
      <c r="W282" s="71">
        <v>2.1634123000000002E-2</v>
      </c>
      <c r="X282" s="71">
        <v>2.1332146999999999E-2</v>
      </c>
      <c r="Y282" s="71">
        <v>2.0971243000000001E-2</v>
      </c>
      <c r="Z282" s="71">
        <v>6.1360080000000001E-3</v>
      </c>
      <c r="AA282" s="71">
        <v>6.2640480000000004E-3</v>
      </c>
      <c r="AB282" s="71">
        <v>6.050695E-3</v>
      </c>
      <c r="AC282" s="71">
        <v>6.3835029999999996E-3</v>
      </c>
      <c r="AD282" s="71">
        <v>6.9587649999999996E-3</v>
      </c>
      <c r="AE282" s="71">
        <v>7.3999929999999997E-3</v>
      </c>
      <c r="AF282" s="71">
        <v>7.6414509999999996E-3</v>
      </c>
      <c r="AG282" s="71">
        <v>1.4738457999999999E-2</v>
      </c>
      <c r="AH282" s="71">
        <v>1.543517E-2</v>
      </c>
      <c r="AI282" s="71">
        <v>1.7278315999999998E-2</v>
      </c>
      <c r="AJ282" s="71">
        <v>1.8750283999999999E-2</v>
      </c>
      <c r="AK282" s="71">
        <v>1.9188065000000001E-2</v>
      </c>
      <c r="AL282" s="71">
        <v>1.9372763000000001E-2</v>
      </c>
      <c r="AM282" s="71">
        <v>1.9553671000000002E-2</v>
      </c>
      <c r="AN282" s="71">
        <v>3.9101679E-2</v>
      </c>
      <c r="AO282" s="71">
        <v>1</v>
      </c>
      <c r="AP282" s="71">
        <v>-9.3066871999999995E-2</v>
      </c>
    </row>
    <row r="283" spans="1:42" x14ac:dyDescent="0.2">
      <c r="A283" t="s">
        <v>200</v>
      </c>
      <c r="B283" t="s">
        <v>112</v>
      </c>
      <c r="C283" t="s">
        <v>202</v>
      </c>
      <c r="D283" t="s">
        <v>201</v>
      </c>
      <c r="E283" s="71">
        <v>2.3511291E-2</v>
      </c>
      <c r="F283" s="71">
        <v>2.3035645E-2</v>
      </c>
      <c r="G283" s="71">
        <v>2.1709560999999999E-2</v>
      </c>
      <c r="H283" s="71">
        <v>1.9583463999999998E-2</v>
      </c>
      <c r="I283" s="71">
        <v>1.8037081E-2</v>
      </c>
      <c r="J283" s="71">
        <v>1.6964435999999999E-2</v>
      </c>
      <c r="K283" s="71">
        <v>1.6205667999999999E-2</v>
      </c>
      <c r="L283" s="71">
        <v>1.2079540999999999E-2</v>
      </c>
      <c r="M283" s="71">
        <v>1.2002700999999999E-2</v>
      </c>
      <c r="N283" s="71">
        <v>9.2769389999999997E-3</v>
      </c>
      <c r="O283" s="71">
        <v>6.0829839999999996E-3</v>
      </c>
      <c r="P283" s="71">
        <v>4.5936120000000004E-3</v>
      </c>
      <c r="Q283" s="71">
        <v>3.8155509999999999E-3</v>
      </c>
      <c r="R283" s="71">
        <v>3.6534610000000002E-3</v>
      </c>
      <c r="S283" s="71">
        <v>3.4930537999999997E-2</v>
      </c>
      <c r="T283" s="71">
        <v>3.3909667999999997E-2</v>
      </c>
      <c r="U283" s="71">
        <v>3.4163677000000003E-2</v>
      </c>
      <c r="V283" s="71">
        <v>3.3153948000000003E-2</v>
      </c>
      <c r="W283" s="71">
        <v>3.1610759000000002E-2</v>
      </c>
      <c r="X283" s="71">
        <v>3.0275633E-2</v>
      </c>
      <c r="Y283" s="71">
        <v>2.9028640000000001E-2</v>
      </c>
      <c r="Z283" s="71">
        <v>1.5759947E-2</v>
      </c>
      <c r="AA283" s="71">
        <v>1.4582526E-2</v>
      </c>
      <c r="AB283" s="71">
        <v>9.8976240000000007E-3</v>
      </c>
      <c r="AC283" s="71">
        <v>6.5121160000000001E-3</v>
      </c>
      <c r="AD283" s="71">
        <v>4.849964E-3</v>
      </c>
      <c r="AE283" s="71">
        <v>3.9543779999999997E-3</v>
      </c>
      <c r="AF283" s="71">
        <v>3.5911659999999998E-3</v>
      </c>
      <c r="AG283" s="71">
        <v>3.1319563000000002E-2</v>
      </c>
      <c r="AH283" s="71">
        <v>3.1557172000000001E-2</v>
      </c>
      <c r="AI283" s="71">
        <v>3.3658003999999998E-2</v>
      </c>
      <c r="AJ283" s="71">
        <v>3.2823443000000001E-2</v>
      </c>
      <c r="AK283" s="71">
        <v>3.1396225E-2</v>
      </c>
      <c r="AL283" s="71">
        <v>3.0142173000000001E-2</v>
      </c>
      <c r="AM283" s="71">
        <v>2.8978042999999998E-2</v>
      </c>
      <c r="AN283" s="71">
        <v>2.5442664E-2</v>
      </c>
      <c r="AO283" s="71">
        <v>0.45585133900000002</v>
      </c>
      <c r="AP283" s="71">
        <v>-7.7653633999999999E-2</v>
      </c>
    </row>
    <row r="284" spans="1:42" x14ac:dyDescent="0.2">
      <c r="A284" t="s">
        <v>103</v>
      </c>
      <c r="B284" t="s">
        <v>112</v>
      </c>
      <c r="C284" t="s">
        <v>111</v>
      </c>
      <c r="D284" t="s">
        <v>110</v>
      </c>
      <c r="E284" s="71">
        <v>9.5299959000000004E-2</v>
      </c>
      <c r="F284" s="71">
        <v>9.4046592999999998E-2</v>
      </c>
      <c r="G284" s="71">
        <v>9.1210604000000001E-2</v>
      </c>
      <c r="H284" s="71">
        <v>8.7515354000000004E-2</v>
      </c>
      <c r="I284" s="71">
        <v>8.5185647000000003E-2</v>
      </c>
      <c r="J284" s="71">
        <v>8.3677888000000006E-2</v>
      </c>
      <c r="K284" s="71">
        <v>8.2646131999999997E-2</v>
      </c>
      <c r="L284" s="71">
        <v>6.4129190000000003E-2</v>
      </c>
      <c r="M284" s="71">
        <v>6.3546632000000006E-2</v>
      </c>
      <c r="N284" s="71">
        <v>5.8248565000000002E-2</v>
      </c>
      <c r="O284" s="71">
        <v>5.3398167000000003E-2</v>
      </c>
      <c r="P284" s="71">
        <v>5.1290373E-2</v>
      </c>
      <c r="Q284" s="71">
        <v>5.0493970999999999E-2</v>
      </c>
      <c r="R284" s="71">
        <v>5.0775847999999998E-2</v>
      </c>
      <c r="S284" s="71">
        <v>0.12774846100000001</v>
      </c>
      <c r="T284" s="71">
        <v>0.12533830900000001</v>
      </c>
      <c r="U284" s="71">
        <v>0.124557425</v>
      </c>
      <c r="V284" s="71">
        <v>0.123336211</v>
      </c>
      <c r="W284" s="71">
        <v>0.12028852900000001</v>
      </c>
      <c r="X284" s="71">
        <v>0.11751761300000001</v>
      </c>
      <c r="Y284" s="71">
        <v>0.115306719</v>
      </c>
      <c r="Z284" s="71">
        <v>7.2061342E-2</v>
      </c>
      <c r="AA284" s="71">
        <v>6.9134555E-2</v>
      </c>
      <c r="AB284" s="71">
        <v>6.3325988999999999E-2</v>
      </c>
      <c r="AC284" s="71">
        <v>5.6823318999999997E-2</v>
      </c>
      <c r="AD284" s="71">
        <v>5.4575271000000002E-2</v>
      </c>
      <c r="AE284" s="71">
        <v>5.3100732999999997E-2</v>
      </c>
      <c r="AF284" s="71">
        <v>5.3415083000000002E-2</v>
      </c>
      <c r="AG284" s="71">
        <v>0.119042337</v>
      </c>
      <c r="AH284" s="71">
        <v>0.11953904999999999</v>
      </c>
      <c r="AI284" s="71">
        <v>0.119826485</v>
      </c>
      <c r="AJ284" s="71">
        <v>0.1190987</v>
      </c>
      <c r="AK284" s="71">
        <v>0.116684301</v>
      </c>
      <c r="AL284" s="71">
        <v>0.11514292399999999</v>
      </c>
      <c r="AM284" s="71">
        <v>0.11268825</v>
      </c>
      <c r="AN284" s="71">
        <v>6.6198921999999993E-2</v>
      </c>
      <c r="AO284" s="71">
        <v>0.39599761500000003</v>
      </c>
      <c r="AP284" s="71">
        <v>-0.161584222</v>
      </c>
    </row>
    <row r="285" spans="1:42" x14ac:dyDescent="0.2">
      <c r="A285" t="s">
        <v>240</v>
      </c>
      <c r="B285" t="s">
        <v>102</v>
      </c>
      <c r="C285" t="s">
        <v>107</v>
      </c>
      <c r="D285" t="s">
        <v>100</v>
      </c>
      <c r="E285" s="71">
        <v>4.2796002999999999E-2</v>
      </c>
      <c r="F285" s="71">
        <v>4.3417202000000002E-2</v>
      </c>
      <c r="G285" s="71">
        <v>4.4913398E-2</v>
      </c>
      <c r="H285" s="71">
        <v>4.7036277000000001E-2</v>
      </c>
      <c r="I285" s="71">
        <v>4.8480855000000003E-2</v>
      </c>
      <c r="J285" s="71">
        <v>4.9458133000000001E-2</v>
      </c>
      <c r="K285" s="71">
        <v>5.0142751999999999E-2</v>
      </c>
      <c r="L285" s="71">
        <v>1.6231730000000001E-3</v>
      </c>
      <c r="M285" s="71">
        <v>5.4810070000000004E-3</v>
      </c>
      <c r="N285" s="71">
        <v>8.1312969999999991E-3</v>
      </c>
      <c r="O285" s="71">
        <v>1.1000144999999999E-2</v>
      </c>
      <c r="P285" s="71">
        <v>1.3954093000000001E-2</v>
      </c>
      <c r="Q285" s="71">
        <v>1.530222E-2</v>
      </c>
      <c r="R285" s="71">
        <v>1.6167983E-2</v>
      </c>
      <c r="S285" s="71">
        <v>8.5913555000000003E-2</v>
      </c>
      <c r="T285" s="71">
        <v>8.2568820000000001E-2</v>
      </c>
      <c r="U285" s="71">
        <v>8.2673344999999995E-2</v>
      </c>
      <c r="V285" s="71">
        <v>8.4187930999999994E-2</v>
      </c>
      <c r="W285" s="71">
        <v>8.3966791999999998E-2</v>
      </c>
      <c r="X285" s="71">
        <v>8.4689671999999994E-2</v>
      </c>
      <c r="Y285" s="71">
        <v>8.5010388000000006E-2</v>
      </c>
      <c r="Z285" s="71">
        <v>1.1600029E-2</v>
      </c>
      <c r="AA285" s="71">
        <v>1.3989387000000001E-2</v>
      </c>
      <c r="AB285" s="71">
        <v>1.3859929E-2</v>
      </c>
      <c r="AC285" s="71">
        <v>1.5161396000000001E-2</v>
      </c>
      <c r="AD285" s="71">
        <v>1.7643440999999999E-2</v>
      </c>
      <c r="AE285" s="71">
        <v>1.7576590999999999E-2</v>
      </c>
      <c r="AF285" s="71">
        <v>1.8605768000000002E-2</v>
      </c>
      <c r="AG285" s="71">
        <v>7.4962787000000003E-2</v>
      </c>
      <c r="AH285" s="71">
        <v>7.3706551999999995E-2</v>
      </c>
      <c r="AI285" s="71">
        <v>7.6926366999999995E-2</v>
      </c>
      <c r="AJ285" s="71">
        <v>7.9920977000000004E-2</v>
      </c>
      <c r="AK285" s="71">
        <v>8.0261079999999999E-2</v>
      </c>
      <c r="AL285" s="71">
        <v>8.2347214000000002E-2</v>
      </c>
      <c r="AM285" s="71">
        <v>8.2664634000000001E-2</v>
      </c>
      <c r="AN285" s="71">
        <v>9.3158134000000004E-2</v>
      </c>
      <c r="AO285" s="71">
        <v>-5.7522627E-2</v>
      </c>
      <c r="AP285" s="71">
        <v>0.61370070499999996</v>
      </c>
    </row>
    <row r="286" spans="1:42" x14ac:dyDescent="0.2">
      <c r="A286" t="s">
        <v>224</v>
      </c>
      <c r="B286" t="s">
        <v>102</v>
      </c>
      <c r="C286" t="s">
        <v>107</v>
      </c>
      <c r="D286" t="s">
        <v>100</v>
      </c>
      <c r="E286" s="71">
        <v>4.6999561000000002E-2</v>
      </c>
      <c r="F286" s="71">
        <v>4.7705637000000002E-2</v>
      </c>
      <c r="G286" s="71">
        <v>4.9292312999999997E-2</v>
      </c>
      <c r="H286" s="71">
        <v>5.1263558000000001E-2</v>
      </c>
      <c r="I286" s="71">
        <v>5.2366243999999999E-2</v>
      </c>
      <c r="J286" s="71">
        <v>5.2969680999999998E-2</v>
      </c>
      <c r="K286" s="71">
        <v>5.3313003999999997E-2</v>
      </c>
      <c r="L286" s="71">
        <v>4.5567510000000004E-3</v>
      </c>
      <c r="M286" s="71">
        <v>8.2240990000000003E-3</v>
      </c>
      <c r="N286" s="71">
        <v>1.1700827E-2</v>
      </c>
      <c r="O286" s="71">
        <v>1.5396963E-2</v>
      </c>
      <c r="P286" s="71">
        <v>1.814876E-2</v>
      </c>
      <c r="Q286" s="71">
        <v>2.1052446999999998E-2</v>
      </c>
      <c r="R286" s="71">
        <v>2.3626372999999999E-2</v>
      </c>
      <c r="S286" s="71">
        <v>9.1136464E-2</v>
      </c>
      <c r="T286" s="71">
        <v>8.8429797000000004E-2</v>
      </c>
      <c r="U286" s="71">
        <v>8.7628620000000004E-2</v>
      </c>
      <c r="V286" s="71">
        <v>8.8463976999999999E-2</v>
      </c>
      <c r="W286" s="71">
        <v>8.7459665000000006E-2</v>
      </c>
      <c r="X286" s="71">
        <v>8.6399348000000001E-2</v>
      </c>
      <c r="Y286" s="71">
        <v>8.4273473000000002E-2</v>
      </c>
      <c r="Z286" s="71">
        <v>1.5834654E-2</v>
      </c>
      <c r="AA286" s="71">
        <v>1.8256023E-2</v>
      </c>
      <c r="AB286" s="71">
        <v>1.6988814000000001E-2</v>
      </c>
      <c r="AC286" s="71">
        <v>1.8583634000000002E-2</v>
      </c>
      <c r="AD286" s="71">
        <v>2.1081724E-2</v>
      </c>
      <c r="AE286" s="71">
        <v>2.2924282000000001E-2</v>
      </c>
      <c r="AF286" s="71">
        <v>2.5259639E-2</v>
      </c>
      <c r="AG286" s="71">
        <v>7.9129067999999997E-2</v>
      </c>
      <c r="AH286" s="71">
        <v>7.8014512999999994E-2</v>
      </c>
      <c r="AI286" s="71">
        <v>8.2630927000000007E-2</v>
      </c>
      <c r="AJ286" s="71">
        <v>8.5001307999999998E-2</v>
      </c>
      <c r="AK286" s="71">
        <v>8.4617542000000004E-2</v>
      </c>
      <c r="AL286" s="71">
        <v>8.3905428000000004E-2</v>
      </c>
      <c r="AM286" s="71">
        <v>8.2140669999999999E-2</v>
      </c>
      <c r="AN286" s="71">
        <v>9.7434468999999996E-2</v>
      </c>
      <c r="AO286" s="71">
        <v>0.14796204800000001</v>
      </c>
      <c r="AP286" s="71">
        <v>0.55903668399999995</v>
      </c>
    </row>
    <row r="287" spans="1:42" x14ac:dyDescent="0.2">
      <c r="A287" t="s">
        <v>200</v>
      </c>
      <c r="B287" t="s">
        <v>102</v>
      </c>
      <c r="C287" t="s">
        <v>107</v>
      </c>
      <c r="D287" t="s">
        <v>100</v>
      </c>
      <c r="E287" s="71">
        <v>2.2784578E-2</v>
      </c>
      <c r="F287" s="71">
        <v>2.4075732999999998E-2</v>
      </c>
      <c r="G287" s="71">
        <v>2.7008282000000002E-2</v>
      </c>
      <c r="H287" s="71">
        <v>3.0925141999999999E-2</v>
      </c>
      <c r="I287" s="71">
        <v>3.3488975999999997E-2</v>
      </c>
      <c r="J287" s="71">
        <v>3.5195694999999999E-2</v>
      </c>
      <c r="K287" s="71">
        <v>3.6383973E-2</v>
      </c>
      <c r="L287" s="71">
        <v>-2.9576581000000001E-2</v>
      </c>
      <c r="M287" s="71">
        <v>-2.2469981E-2</v>
      </c>
      <c r="N287" s="71">
        <v>-1.6241458E-2</v>
      </c>
      <c r="O287" s="71">
        <v>-9.8275859999999993E-3</v>
      </c>
      <c r="P287" s="71">
        <v>-4.0411240000000001E-3</v>
      </c>
      <c r="Q287" s="71">
        <v>-6.2183300000000002E-4</v>
      </c>
      <c r="R287" s="71">
        <v>2.6201229999999998E-3</v>
      </c>
      <c r="S287" s="71">
        <v>7.8737717999999998E-2</v>
      </c>
      <c r="T287" s="71">
        <v>7.3126642000000006E-2</v>
      </c>
      <c r="U287" s="71">
        <v>7.2640411000000002E-2</v>
      </c>
      <c r="V287" s="71">
        <v>7.3413413999999996E-2</v>
      </c>
      <c r="W287" s="71">
        <v>7.2238944999999999E-2</v>
      </c>
      <c r="X287" s="71">
        <v>7.1652835999999998E-2</v>
      </c>
      <c r="Y287" s="71">
        <v>7.1356716000000001E-2</v>
      </c>
      <c r="Z287" s="71">
        <v>-9.0407620000000008E-3</v>
      </c>
      <c r="AA287" s="71">
        <v>-6.2464180000000001E-3</v>
      </c>
      <c r="AB287" s="71">
        <v>-5.0550600000000001E-3</v>
      </c>
      <c r="AC287" s="71">
        <v>-3.3702070000000001E-3</v>
      </c>
      <c r="AD287" s="72" t="s">
        <v>442</v>
      </c>
      <c r="AE287" s="71">
        <v>4.1607019999999996E-3</v>
      </c>
      <c r="AF287" s="71">
        <v>6.7790139999999999E-3</v>
      </c>
      <c r="AG287" s="71">
        <v>5.5592066000000002E-2</v>
      </c>
      <c r="AH287" s="71">
        <v>5.5284972000000002E-2</v>
      </c>
      <c r="AI287" s="71">
        <v>6.0074175E-2</v>
      </c>
      <c r="AJ287" s="71">
        <v>6.6380725000000002E-2</v>
      </c>
      <c r="AK287" s="71">
        <v>6.7985946000000005E-2</v>
      </c>
      <c r="AL287" s="71">
        <v>6.7179103000000004E-2</v>
      </c>
      <c r="AM287" s="71">
        <v>6.6850817000000007E-2</v>
      </c>
      <c r="AN287" s="71">
        <v>0.14011900499999999</v>
      </c>
      <c r="AO287" s="71">
        <v>-0.17794470200000001</v>
      </c>
      <c r="AP287" s="71">
        <v>0.66101295199999999</v>
      </c>
    </row>
    <row r="288" spans="1:42" x14ac:dyDescent="0.2">
      <c r="A288" t="s">
        <v>259</v>
      </c>
      <c r="B288" t="s">
        <v>102</v>
      </c>
      <c r="C288" t="s">
        <v>107</v>
      </c>
      <c r="D288" t="s">
        <v>100</v>
      </c>
      <c r="E288" s="71">
        <v>4.6207415000000002E-2</v>
      </c>
      <c r="F288" s="71">
        <v>4.6593652999999999E-2</v>
      </c>
      <c r="G288" s="71">
        <v>4.7296153E-2</v>
      </c>
      <c r="H288" s="71">
        <v>4.7895180000000002E-2</v>
      </c>
      <c r="I288" s="71">
        <v>4.8084961000000002E-2</v>
      </c>
      <c r="J288" s="71">
        <v>4.8135029000000003E-2</v>
      </c>
      <c r="K288" s="71">
        <v>4.8143015999999997E-2</v>
      </c>
      <c r="L288" s="71">
        <v>1.228849E-3</v>
      </c>
      <c r="M288" s="71">
        <v>5.5686090000000004E-3</v>
      </c>
      <c r="N288" s="71">
        <v>8.3013159999999996E-3</v>
      </c>
      <c r="O288" s="71">
        <v>1.1559491999999999E-2</v>
      </c>
      <c r="P288" s="71">
        <v>1.3720041000000001E-2</v>
      </c>
      <c r="Q288" s="71">
        <v>1.5291445000000001E-2</v>
      </c>
      <c r="R288" s="71">
        <v>1.7273976E-2</v>
      </c>
      <c r="S288" s="71">
        <v>9.3559490999999995E-2</v>
      </c>
      <c r="T288" s="71">
        <v>8.9130543000000007E-2</v>
      </c>
      <c r="U288" s="71">
        <v>8.8414145E-2</v>
      </c>
      <c r="V288" s="71">
        <v>8.5646752000000007E-2</v>
      </c>
      <c r="W288" s="71">
        <v>8.4469249999999996E-2</v>
      </c>
      <c r="X288" s="71">
        <v>8.1833129000000004E-2</v>
      </c>
      <c r="Y288" s="71">
        <v>7.9845902999999996E-2</v>
      </c>
      <c r="Z288" s="71">
        <v>1.4881544999999999E-2</v>
      </c>
      <c r="AA288" s="71">
        <v>1.7160667000000001E-2</v>
      </c>
      <c r="AB288" s="71">
        <v>1.6617872999999998E-2</v>
      </c>
      <c r="AC288" s="71">
        <v>1.6476406999999998E-2</v>
      </c>
      <c r="AD288" s="71">
        <v>1.8351493E-2</v>
      </c>
      <c r="AE288" s="71">
        <v>1.9896770000000001E-2</v>
      </c>
      <c r="AF288" s="71">
        <v>2.2554804000000001E-2</v>
      </c>
      <c r="AG288" s="71">
        <v>7.8458396E-2</v>
      </c>
      <c r="AH288" s="71">
        <v>7.6838532000000001E-2</v>
      </c>
      <c r="AI288" s="71">
        <v>7.8867718000000003E-2</v>
      </c>
      <c r="AJ288" s="71">
        <v>8.0262947000000001E-2</v>
      </c>
      <c r="AK288" s="71">
        <v>7.8670027000000003E-2</v>
      </c>
      <c r="AL288" s="71">
        <v>7.7142291000000002E-2</v>
      </c>
      <c r="AM288" s="71">
        <v>7.4360815999999996E-2</v>
      </c>
      <c r="AN288" s="71">
        <v>0.106340883</v>
      </c>
      <c r="AO288" s="71">
        <v>-7.5450907999999997E-2</v>
      </c>
      <c r="AP288" s="71">
        <v>0.64708237000000002</v>
      </c>
    </row>
    <row r="289" spans="1:42" x14ac:dyDescent="0.2">
      <c r="A289" t="s">
        <v>288</v>
      </c>
      <c r="B289" t="s">
        <v>102</v>
      </c>
      <c r="C289" t="s">
        <v>107</v>
      </c>
      <c r="D289" t="s">
        <v>100</v>
      </c>
      <c r="E289" s="71">
        <v>5.4458247000000001E-2</v>
      </c>
      <c r="F289" s="71">
        <v>5.5288181999999998E-2</v>
      </c>
      <c r="G289" s="71">
        <v>5.7277665999999998E-2</v>
      </c>
      <c r="H289" s="71">
        <v>6.0091363000000002E-2</v>
      </c>
      <c r="I289" s="71">
        <v>6.2003599E-2</v>
      </c>
      <c r="J289" s="71">
        <v>6.3296901000000003E-2</v>
      </c>
      <c r="K289" s="71">
        <v>6.4203129999999997E-2</v>
      </c>
      <c r="L289" s="71">
        <v>1.1744661E-2</v>
      </c>
      <c r="M289" s="71">
        <v>1.6392233999999999E-2</v>
      </c>
      <c r="N289" s="71">
        <v>1.9639779999999999E-2</v>
      </c>
      <c r="O289" s="71">
        <v>2.4465007E-2</v>
      </c>
      <c r="P289" s="71">
        <v>2.7571262999999999E-2</v>
      </c>
      <c r="Q289" s="71">
        <v>3.1003010000000001E-2</v>
      </c>
      <c r="R289" s="71">
        <v>3.3905337000000001E-2</v>
      </c>
      <c r="S289" s="71">
        <v>9.8898922E-2</v>
      </c>
      <c r="T289" s="71">
        <v>9.5907187000000005E-2</v>
      </c>
      <c r="U289" s="71">
        <v>9.5535519999999999E-2</v>
      </c>
      <c r="V289" s="71">
        <v>9.6413366E-2</v>
      </c>
      <c r="W289" s="71">
        <v>9.7036871999999996E-2</v>
      </c>
      <c r="X289" s="71">
        <v>9.6036292999999995E-2</v>
      </c>
      <c r="Y289" s="71">
        <v>9.5049947999999995E-2</v>
      </c>
      <c r="Z289" s="71">
        <v>2.2028618E-2</v>
      </c>
      <c r="AA289" s="71">
        <v>2.4512968E-2</v>
      </c>
      <c r="AB289" s="71">
        <v>2.7666158E-2</v>
      </c>
      <c r="AC289" s="71">
        <v>2.9403751999999998E-2</v>
      </c>
      <c r="AD289" s="71">
        <v>3.1876501000000002E-2</v>
      </c>
      <c r="AE289" s="71">
        <v>3.5135642000000002E-2</v>
      </c>
      <c r="AF289" s="71">
        <v>3.7660846999999997E-2</v>
      </c>
      <c r="AG289" s="71">
        <v>8.7875277000000002E-2</v>
      </c>
      <c r="AH289" s="71">
        <v>8.6948024999999998E-2</v>
      </c>
      <c r="AI289" s="71">
        <v>8.7708933000000003E-2</v>
      </c>
      <c r="AJ289" s="71">
        <v>9.1670684000000002E-2</v>
      </c>
      <c r="AK289" s="71">
        <v>9.2993612000000003E-2</v>
      </c>
      <c r="AL289" s="71">
        <v>9.2211162999999999E-2</v>
      </c>
      <c r="AM289" s="71">
        <v>9.1413604999999995E-2</v>
      </c>
      <c r="AN289" s="71">
        <v>9.2933903999999998E-2</v>
      </c>
      <c r="AO289" s="71">
        <v>0.100758367</v>
      </c>
      <c r="AP289" s="71">
        <v>0.57637922399999997</v>
      </c>
    </row>
    <row r="290" spans="1:42" x14ac:dyDescent="0.2">
      <c r="A290" t="s">
        <v>272</v>
      </c>
      <c r="B290" t="s">
        <v>102</v>
      </c>
      <c r="C290" t="s">
        <v>107</v>
      </c>
      <c r="D290" t="s">
        <v>100</v>
      </c>
      <c r="E290" s="71">
        <v>3.8238870000000001E-2</v>
      </c>
      <c r="F290" s="71">
        <v>3.9781557000000002E-2</v>
      </c>
      <c r="G290" s="71">
        <v>4.3385969000000003E-2</v>
      </c>
      <c r="H290" s="71">
        <v>4.8315749999999998E-2</v>
      </c>
      <c r="I290" s="71">
        <v>5.1575409000000003E-2</v>
      </c>
      <c r="J290" s="71">
        <v>5.3749071000000002E-2</v>
      </c>
      <c r="K290" s="71">
        <v>5.5262076E-2</v>
      </c>
      <c r="L290" s="71">
        <v>-2.8489800000000001E-3</v>
      </c>
      <c r="M290" s="71">
        <v>2.1800930000000001E-3</v>
      </c>
      <c r="N290" s="71">
        <v>7.3017100000000003E-3</v>
      </c>
      <c r="O290" s="71">
        <v>1.3478573000000001E-2</v>
      </c>
      <c r="P290" s="71">
        <v>1.7968410000000001E-2</v>
      </c>
      <c r="Q290" s="71">
        <v>2.2084506E-2</v>
      </c>
      <c r="R290" s="71">
        <v>2.4834421999999998E-2</v>
      </c>
      <c r="S290" s="71">
        <v>8.1849643999999999E-2</v>
      </c>
      <c r="T290" s="71">
        <v>7.8669145999999995E-2</v>
      </c>
      <c r="U290" s="71">
        <v>8.0730755000000001E-2</v>
      </c>
      <c r="V290" s="71">
        <v>8.5190826999999997E-2</v>
      </c>
      <c r="W290" s="71">
        <v>8.6676912999999994E-2</v>
      </c>
      <c r="X290" s="71">
        <v>8.7314299999999997E-2</v>
      </c>
      <c r="Y290" s="71">
        <v>8.6709544999999999E-2</v>
      </c>
      <c r="Z290" s="71">
        <v>7.2387529999999997E-3</v>
      </c>
      <c r="AA290" s="71">
        <v>1.1296234E-2</v>
      </c>
      <c r="AB290" s="71">
        <v>1.2720967E-2</v>
      </c>
      <c r="AC290" s="71">
        <v>1.6552246E-2</v>
      </c>
      <c r="AD290" s="71">
        <v>2.1472603E-2</v>
      </c>
      <c r="AE290" s="71">
        <v>2.4391473E-2</v>
      </c>
      <c r="AF290" s="71">
        <v>2.7398643E-2</v>
      </c>
      <c r="AG290" s="71">
        <v>7.0151571999999995E-2</v>
      </c>
      <c r="AH290" s="71">
        <v>6.9029352000000002E-2</v>
      </c>
      <c r="AI290" s="71">
        <v>7.4947196999999993E-2</v>
      </c>
      <c r="AJ290" s="71">
        <v>8.1049621000000002E-2</v>
      </c>
      <c r="AK290" s="71">
        <v>8.2549119000000004E-2</v>
      </c>
      <c r="AL290" s="71">
        <v>8.3935758999999999E-2</v>
      </c>
      <c r="AM290" s="71">
        <v>8.3871412000000006E-2</v>
      </c>
      <c r="AN290" s="71">
        <v>9.1976063999999996E-2</v>
      </c>
      <c r="AO290" s="71">
        <v>0.22717221900000001</v>
      </c>
      <c r="AP290" s="71">
        <v>0.58826433</v>
      </c>
    </row>
    <row r="291" spans="1:42" x14ac:dyDescent="0.2">
      <c r="A291" t="s">
        <v>178</v>
      </c>
      <c r="B291" t="s">
        <v>102</v>
      </c>
      <c r="C291" t="s">
        <v>107</v>
      </c>
      <c r="D291" t="s">
        <v>100</v>
      </c>
      <c r="E291" s="71">
        <v>4.4205651999999998E-2</v>
      </c>
      <c r="F291" s="71">
        <v>4.5942651000000001E-2</v>
      </c>
      <c r="G291" s="71">
        <v>4.9818503E-2</v>
      </c>
      <c r="H291" s="71">
        <v>5.4923043999999997E-2</v>
      </c>
      <c r="I291" s="71">
        <v>5.8243977000000002E-2</v>
      </c>
      <c r="J291" s="71">
        <v>6.0451614000000001E-2</v>
      </c>
      <c r="K291" s="71">
        <v>6.1987983000000003E-2</v>
      </c>
      <c r="L291" s="71">
        <v>-8.6969200000000001E-5</v>
      </c>
      <c r="M291" s="71">
        <v>5.0164129999999999E-3</v>
      </c>
      <c r="N291" s="71">
        <v>1.0269032000000001E-2</v>
      </c>
      <c r="O291" s="71">
        <v>1.7686295000000001E-2</v>
      </c>
      <c r="P291" s="71">
        <v>2.2712650000000001E-2</v>
      </c>
      <c r="Q291" s="71">
        <v>2.6718367E-2</v>
      </c>
      <c r="R291" s="71">
        <v>3.0310793999999999E-2</v>
      </c>
      <c r="S291" s="71">
        <v>9.0811017999999993E-2</v>
      </c>
      <c r="T291" s="71">
        <v>8.8461973999999999E-2</v>
      </c>
      <c r="U291" s="71">
        <v>9.0914235999999995E-2</v>
      </c>
      <c r="V291" s="71">
        <v>9.4214041999999998E-2</v>
      </c>
      <c r="W291" s="71">
        <v>9.4800462000000002E-2</v>
      </c>
      <c r="X291" s="71">
        <v>9.4486639999999997E-2</v>
      </c>
      <c r="Y291" s="71">
        <v>9.4419703999999993E-2</v>
      </c>
      <c r="Z291" s="71">
        <v>1.2647215999999999E-2</v>
      </c>
      <c r="AA291" s="71">
        <v>1.4667038E-2</v>
      </c>
      <c r="AB291" s="71">
        <v>1.7531219000000001E-2</v>
      </c>
      <c r="AC291" s="71">
        <v>2.3436976000000002E-2</v>
      </c>
      <c r="AD291" s="71">
        <v>2.7933308E-2</v>
      </c>
      <c r="AE291" s="71">
        <v>3.069622E-2</v>
      </c>
      <c r="AF291" s="71">
        <v>3.3160805000000002E-2</v>
      </c>
      <c r="AG291" s="71">
        <v>7.6756505000000003E-2</v>
      </c>
      <c r="AH291" s="71">
        <v>7.8190811999999998E-2</v>
      </c>
      <c r="AI291" s="71">
        <v>8.3139458999999999E-2</v>
      </c>
      <c r="AJ291" s="71">
        <v>8.7386229999999995E-2</v>
      </c>
      <c r="AK291" s="71">
        <v>8.9456202999999998E-2</v>
      </c>
      <c r="AL291" s="71">
        <v>9.1073389000000005E-2</v>
      </c>
      <c r="AM291" s="71">
        <v>9.1626606999999999E-2</v>
      </c>
      <c r="AN291" s="71">
        <v>0.103121777</v>
      </c>
      <c r="AO291" s="71">
        <v>1.6013693999999998E-2</v>
      </c>
      <c r="AP291" s="71">
        <v>0.64044828200000004</v>
      </c>
    </row>
    <row r="292" spans="1:42" x14ac:dyDescent="0.2">
      <c r="A292" t="s">
        <v>178</v>
      </c>
      <c r="B292" t="s">
        <v>102</v>
      </c>
      <c r="C292" t="s">
        <v>107</v>
      </c>
      <c r="D292" t="s">
        <v>100</v>
      </c>
      <c r="E292" s="71">
        <v>4.4205651999999998E-2</v>
      </c>
      <c r="F292" s="71">
        <v>4.5942651000000001E-2</v>
      </c>
      <c r="G292" s="71">
        <v>4.9818503E-2</v>
      </c>
      <c r="H292" s="71">
        <v>5.4923043999999997E-2</v>
      </c>
      <c r="I292" s="71">
        <v>5.8243977000000002E-2</v>
      </c>
      <c r="J292" s="71">
        <v>6.0451614000000001E-2</v>
      </c>
      <c r="K292" s="71">
        <v>6.1987983000000003E-2</v>
      </c>
      <c r="L292" s="71">
        <v>-8.6969200000000001E-5</v>
      </c>
      <c r="M292" s="71">
        <v>5.0164129999999999E-3</v>
      </c>
      <c r="N292" s="71">
        <v>1.0269032000000001E-2</v>
      </c>
      <c r="O292" s="71">
        <v>1.7686295000000001E-2</v>
      </c>
      <c r="P292" s="71">
        <v>2.2712650000000001E-2</v>
      </c>
      <c r="Q292" s="71">
        <v>2.6718367E-2</v>
      </c>
      <c r="R292" s="71">
        <v>3.0310793999999999E-2</v>
      </c>
      <c r="S292" s="71">
        <v>9.0811017999999993E-2</v>
      </c>
      <c r="T292" s="71">
        <v>8.8461973999999999E-2</v>
      </c>
      <c r="U292" s="71">
        <v>9.0914235999999995E-2</v>
      </c>
      <c r="V292" s="71">
        <v>9.4214041999999998E-2</v>
      </c>
      <c r="W292" s="71">
        <v>9.4800462000000002E-2</v>
      </c>
      <c r="X292" s="71">
        <v>9.4486639999999997E-2</v>
      </c>
      <c r="Y292" s="71">
        <v>9.4419703999999993E-2</v>
      </c>
      <c r="Z292" s="71">
        <v>1.2647215999999999E-2</v>
      </c>
      <c r="AA292" s="71">
        <v>1.4667038E-2</v>
      </c>
      <c r="AB292" s="71">
        <v>1.7531219000000001E-2</v>
      </c>
      <c r="AC292" s="71">
        <v>2.3436976000000002E-2</v>
      </c>
      <c r="AD292" s="71">
        <v>2.7933308E-2</v>
      </c>
      <c r="AE292" s="71">
        <v>3.069622E-2</v>
      </c>
      <c r="AF292" s="71">
        <v>3.3160805000000002E-2</v>
      </c>
      <c r="AG292" s="71">
        <v>7.6756505000000003E-2</v>
      </c>
      <c r="AH292" s="71">
        <v>7.8190811999999998E-2</v>
      </c>
      <c r="AI292" s="71">
        <v>8.3139458999999999E-2</v>
      </c>
      <c r="AJ292" s="71">
        <v>8.7386229999999995E-2</v>
      </c>
      <c r="AK292" s="71">
        <v>8.9456202999999998E-2</v>
      </c>
      <c r="AL292" s="71">
        <v>9.1073389000000005E-2</v>
      </c>
      <c r="AM292" s="71">
        <v>9.1626606999999999E-2</v>
      </c>
      <c r="AN292" s="71">
        <v>0.103121777</v>
      </c>
      <c r="AO292" s="71">
        <v>1.6013693999999998E-2</v>
      </c>
      <c r="AP292" s="71">
        <v>0.64044828200000004</v>
      </c>
    </row>
    <row r="293" spans="1:42" x14ac:dyDescent="0.2">
      <c r="A293" t="s">
        <v>191</v>
      </c>
      <c r="B293" t="s">
        <v>102</v>
      </c>
      <c r="C293" t="s">
        <v>107</v>
      </c>
      <c r="D293" t="s">
        <v>100</v>
      </c>
      <c r="E293" s="71">
        <v>6.5057026000000004E-2</v>
      </c>
      <c r="F293" s="71">
        <v>6.6277013999999995E-2</v>
      </c>
      <c r="G293" s="71">
        <v>6.9486127999999994E-2</v>
      </c>
      <c r="H293" s="71">
        <v>7.4498402000000005E-2</v>
      </c>
      <c r="I293" s="71">
        <v>7.8153954999999997E-2</v>
      </c>
      <c r="J293" s="71">
        <v>8.0712663000000004E-2</v>
      </c>
      <c r="K293" s="71">
        <v>8.2534895999999996E-2</v>
      </c>
      <c r="L293" s="71">
        <v>1.7087577E-2</v>
      </c>
      <c r="M293" s="71">
        <v>2.3173078999999999E-2</v>
      </c>
      <c r="N293" s="71">
        <v>2.8586192999999999E-2</v>
      </c>
      <c r="O293" s="71">
        <v>3.6285013999999997E-2</v>
      </c>
      <c r="P293" s="71">
        <v>4.1760864000000002E-2</v>
      </c>
      <c r="Q293" s="71">
        <v>4.5893624000000001E-2</v>
      </c>
      <c r="R293" s="71">
        <v>4.9559693000000002E-2</v>
      </c>
      <c r="S293" s="71">
        <v>0.115765836</v>
      </c>
      <c r="T293" s="71">
        <v>0.11202872</v>
      </c>
      <c r="U293" s="71">
        <v>0.111912964</v>
      </c>
      <c r="V293" s="71">
        <v>0.114450701</v>
      </c>
      <c r="W293" s="71">
        <v>0.116486331</v>
      </c>
      <c r="X293" s="71">
        <v>0.116760585</v>
      </c>
      <c r="Y293" s="71">
        <v>0.116529043</v>
      </c>
      <c r="Z293" s="71">
        <v>3.1626687000000001E-2</v>
      </c>
      <c r="AA293" s="71">
        <v>3.4302125000000003E-2</v>
      </c>
      <c r="AB293" s="71">
        <v>3.6658366999999997E-2</v>
      </c>
      <c r="AC293" s="71">
        <v>4.1473045E-2</v>
      </c>
      <c r="AD293" s="71">
        <v>4.6606696000000003E-2</v>
      </c>
      <c r="AE293" s="71">
        <v>4.9280258E-2</v>
      </c>
      <c r="AF293" s="71">
        <v>5.3995419000000003E-2</v>
      </c>
      <c r="AG293" s="71">
        <v>9.9579853999999995E-2</v>
      </c>
      <c r="AH293" s="71">
        <v>9.9248817000000003E-2</v>
      </c>
      <c r="AI293" s="71">
        <v>0.10336226</v>
      </c>
      <c r="AJ293" s="71">
        <v>0.108580018</v>
      </c>
      <c r="AK293" s="71">
        <v>0.110660148</v>
      </c>
      <c r="AL293" s="71">
        <v>0.11309453699999999</v>
      </c>
      <c r="AM293" s="71">
        <v>0.111853618</v>
      </c>
      <c r="AN293" s="71">
        <v>0.110640662</v>
      </c>
      <c r="AO293" s="71">
        <v>0.22862395199999999</v>
      </c>
      <c r="AP293" s="71">
        <v>0.63847750199999997</v>
      </c>
    </row>
    <row r="294" spans="1:42" x14ac:dyDescent="0.2">
      <c r="A294" t="s">
        <v>254</v>
      </c>
      <c r="B294" t="s">
        <v>102</v>
      </c>
      <c r="C294" t="s">
        <v>107</v>
      </c>
      <c r="D294" t="s">
        <v>100</v>
      </c>
      <c r="E294" s="71">
        <v>4.2194830000000003E-2</v>
      </c>
      <c r="F294" s="71">
        <v>4.4458376000000001E-2</v>
      </c>
      <c r="G294" s="71">
        <v>4.9621806999999997E-2</v>
      </c>
      <c r="H294" s="71">
        <v>5.6424962000000002E-2</v>
      </c>
      <c r="I294" s="71">
        <v>6.0750828999999999E-2</v>
      </c>
      <c r="J294" s="71">
        <v>6.3562142000000002E-2</v>
      </c>
      <c r="K294" s="71">
        <v>6.5490829E-2</v>
      </c>
      <c r="L294" s="71">
        <v>-6.2553820000000003E-3</v>
      </c>
      <c r="M294" s="71">
        <v>5.1979100000000002E-4</v>
      </c>
      <c r="N294" s="71">
        <v>7.5667520000000004E-3</v>
      </c>
      <c r="O294" s="71">
        <v>1.6799689E-2</v>
      </c>
      <c r="P294" s="71">
        <v>2.3597389999999999E-2</v>
      </c>
      <c r="Q294" s="71">
        <v>2.851122E-2</v>
      </c>
      <c r="R294" s="71">
        <v>3.2462685999999998E-2</v>
      </c>
      <c r="S294" s="71">
        <v>9.3568465000000003E-2</v>
      </c>
      <c r="T294" s="71">
        <v>9.0957714999999995E-2</v>
      </c>
      <c r="U294" s="71">
        <v>9.2947901999999999E-2</v>
      </c>
      <c r="V294" s="71">
        <v>9.6987621999999996E-2</v>
      </c>
      <c r="W294" s="71">
        <v>9.9346122999999995E-2</v>
      </c>
      <c r="X294" s="71">
        <v>9.9582128000000006E-2</v>
      </c>
      <c r="Y294" s="71">
        <v>9.9755231999999999E-2</v>
      </c>
      <c r="Z294" s="71">
        <v>1.0376405999999999E-2</v>
      </c>
      <c r="AA294" s="71">
        <v>1.1175516E-2</v>
      </c>
      <c r="AB294" s="71">
        <v>1.515844E-2</v>
      </c>
      <c r="AC294" s="71">
        <v>2.2638859000000001E-2</v>
      </c>
      <c r="AD294" s="71">
        <v>2.7962737000000001E-2</v>
      </c>
      <c r="AE294" s="71">
        <v>3.1576588000000003E-2</v>
      </c>
      <c r="AF294" s="71">
        <v>3.6015958000000001E-2</v>
      </c>
      <c r="AG294" s="71">
        <v>7.5024333999999998E-2</v>
      </c>
      <c r="AH294" s="71">
        <v>7.8846446000000001E-2</v>
      </c>
      <c r="AI294" s="71">
        <v>8.5265608000000007E-2</v>
      </c>
      <c r="AJ294" s="71">
        <v>9.1337056999999999E-2</v>
      </c>
      <c r="AK294" s="71">
        <v>9.4593874999999994E-2</v>
      </c>
      <c r="AL294" s="71">
        <v>9.6548051999999995E-2</v>
      </c>
      <c r="AM294" s="71">
        <v>9.5811595999999999E-2</v>
      </c>
      <c r="AN294" s="71">
        <v>0.121450006</v>
      </c>
      <c r="AO294" s="71">
        <v>4.0488715000000002E-2</v>
      </c>
      <c r="AP294" s="71">
        <v>0.75547824900000005</v>
      </c>
    </row>
    <row r="295" spans="1:42" x14ac:dyDescent="0.2">
      <c r="A295" t="s">
        <v>103</v>
      </c>
      <c r="B295" t="s">
        <v>102</v>
      </c>
      <c r="C295" t="s">
        <v>107</v>
      </c>
      <c r="D295" t="s">
        <v>100</v>
      </c>
      <c r="E295" s="71">
        <v>7.5903522000000001E-2</v>
      </c>
      <c r="F295" s="71">
        <v>7.6823341000000003E-2</v>
      </c>
      <c r="G295" s="71">
        <v>7.9211936999999996E-2</v>
      </c>
      <c r="H295" s="71">
        <v>8.2909928999999993E-2</v>
      </c>
      <c r="I295" s="71">
        <v>8.5601316999999996E-2</v>
      </c>
      <c r="J295" s="71">
        <v>8.7487207999999997E-2</v>
      </c>
      <c r="K295" s="71">
        <v>8.8831887999999998E-2</v>
      </c>
      <c r="L295" s="71">
        <v>1.8094209999999999E-2</v>
      </c>
      <c r="M295" s="71">
        <v>2.4112886E-2</v>
      </c>
      <c r="N295" s="71">
        <v>3.1466473000000002E-2</v>
      </c>
      <c r="O295" s="71">
        <v>3.8256077999999999E-2</v>
      </c>
      <c r="P295" s="71">
        <v>4.3891236E-2</v>
      </c>
      <c r="Q295" s="71">
        <v>4.8616650999999997E-2</v>
      </c>
      <c r="R295" s="71">
        <v>5.1740702E-2</v>
      </c>
      <c r="S295" s="71">
        <v>0.13733478800000001</v>
      </c>
      <c r="T295" s="71">
        <v>0.130908787</v>
      </c>
      <c r="U295" s="71">
        <v>0.12981992000000001</v>
      </c>
      <c r="V295" s="71">
        <v>0.12900776</v>
      </c>
      <c r="W295" s="71">
        <v>0.129028697</v>
      </c>
      <c r="X295" s="71">
        <v>0.12819027299999999</v>
      </c>
      <c r="Y295" s="71">
        <v>0.12693554300000001</v>
      </c>
      <c r="Z295" s="71">
        <v>3.8459807999999998E-2</v>
      </c>
      <c r="AA295" s="71">
        <v>3.8121671000000003E-2</v>
      </c>
      <c r="AB295" s="71">
        <v>4.1467375000000001E-2</v>
      </c>
      <c r="AC295" s="71">
        <v>4.7754946E-2</v>
      </c>
      <c r="AD295" s="71">
        <v>5.0255959000000003E-2</v>
      </c>
      <c r="AE295" s="71">
        <v>5.4227149000000002E-2</v>
      </c>
      <c r="AF295" s="71">
        <v>5.7180021999999997E-2</v>
      </c>
      <c r="AG295" s="71">
        <v>0.114708883</v>
      </c>
      <c r="AH295" s="71">
        <v>0.11698019599999999</v>
      </c>
      <c r="AI295" s="71">
        <v>0.118336264</v>
      </c>
      <c r="AJ295" s="71">
        <v>0.119254595</v>
      </c>
      <c r="AK295" s="71">
        <v>0.12214618300000001</v>
      </c>
      <c r="AL295" s="71">
        <v>0.121805249</v>
      </c>
      <c r="AM295" s="71">
        <v>0.121439269</v>
      </c>
      <c r="AN295" s="71">
        <v>0.14120299</v>
      </c>
      <c r="AO295" s="71">
        <v>0.113917453</v>
      </c>
      <c r="AP295" s="71">
        <v>0.76373882699999995</v>
      </c>
    </row>
    <row r="296" spans="1:42" x14ac:dyDescent="0.2">
      <c r="A296" t="s">
        <v>214</v>
      </c>
      <c r="B296" t="s">
        <v>102</v>
      </c>
      <c r="C296" t="s">
        <v>107</v>
      </c>
      <c r="D296" t="s">
        <v>100</v>
      </c>
      <c r="E296" s="71">
        <v>5.7600604E-2</v>
      </c>
      <c r="F296" s="71">
        <v>5.7889090999999997E-2</v>
      </c>
      <c r="G296" s="71">
        <v>5.8621988999999999E-2</v>
      </c>
      <c r="H296" s="71">
        <v>5.9747324999999997E-2</v>
      </c>
      <c r="I296" s="71">
        <v>6.0579168000000003E-2</v>
      </c>
      <c r="J296" s="71">
        <v>6.1176764000000002E-2</v>
      </c>
      <c r="K296" s="71">
        <v>6.1612950999999999E-2</v>
      </c>
      <c r="L296" s="71">
        <v>1.0595472999999999E-2</v>
      </c>
      <c r="M296" s="71">
        <v>1.5107248E-2</v>
      </c>
      <c r="N296" s="71">
        <v>1.8683198000000002E-2</v>
      </c>
      <c r="O296" s="71">
        <v>2.1616699999999999E-2</v>
      </c>
      <c r="P296" s="71">
        <v>2.4640301999999999E-2</v>
      </c>
      <c r="Q296" s="71">
        <v>2.7324945999999999E-2</v>
      </c>
      <c r="R296" s="71">
        <v>2.9420661000000001E-2</v>
      </c>
      <c r="S296" s="71">
        <v>0.106320766</v>
      </c>
      <c r="T296" s="71">
        <v>0.10221343500000001</v>
      </c>
      <c r="U296" s="71">
        <v>0.1008565</v>
      </c>
      <c r="V296" s="71">
        <v>9.9383674000000005E-2</v>
      </c>
      <c r="W296" s="71">
        <v>9.8009473E-2</v>
      </c>
      <c r="X296" s="71">
        <v>9.6397197000000004E-2</v>
      </c>
      <c r="Y296" s="71">
        <v>9.470866E-2</v>
      </c>
      <c r="Z296" s="71">
        <v>2.8641740999999998E-2</v>
      </c>
      <c r="AA296" s="71">
        <v>2.9438494999999999E-2</v>
      </c>
      <c r="AB296" s="71">
        <v>2.9525288E-2</v>
      </c>
      <c r="AC296" s="71">
        <v>2.9338131999999999E-2</v>
      </c>
      <c r="AD296" s="71">
        <v>2.973079E-2</v>
      </c>
      <c r="AE296" s="71">
        <v>3.1537608000000002E-2</v>
      </c>
      <c r="AF296" s="71">
        <v>3.2771701E-2</v>
      </c>
      <c r="AG296" s="71">
        <v>8.7331014999999998E-2</v>
      </c>
      <c r="AH296" s="71">
        <v>8.7084975999999995E-2</v>
      </c>
      <c r="AI296" s="71">
        <v>8.8507137999999999E-2</v>
      </c>
      <c r="AJ296" s="71">
        <v>9.1031575000000003E-2</v>
      </c>
      <c r="AK296" s="71">
        <v>9.2335289000000001E-2</v>
      </c>
      <c r="AL296" s="71">
        <v>9.1655246999999995E-2</v>
      </c>
      <c r="AM296" s="71">
        <v>9.1249984000000006E-2</v>
      </c>
      <c r="AN296" s="71">
        <v>0.115809104</v>
      </c>
      <c r="AO296" s="71">
        <v>0.14387338</v>
      </c>
      <c r="AP296" s="71">
        <v>0.75779698299999998</v>
      </c>
    </row>
    <row r="297" spans="1:42" x14ac:dyDescent="0.2">
      <c r="A297" t="s">
        <v>164</v>
      </c>
      <c r="B297" t="s">
        <v>102</v>
      </c>
      <c r="C297" t="s">
        <v>107</v>
      </c>
      <c r="D297" t="s">
        <v>100</v>
      </c>
      <c r="E297" s="71">
        <v>3.6703931000000002E-2</v>
      </c>
      <c r="F297" s="71">
        <v>3.8020358999999997E-2</v>
      </c>
      <c r="G297" s="71">
        <v>4.1280971999999999E-2</v>
      </c>
      <c r="H297" s="71">
        <v>4.6111331999999998E-2</v>
      </c>
      <c r="I297" s="71">
        <v>4.9555646000000002E-2</v>
      </c>
      <c r="J297" s="71">
        <v>5.1968800000000002E-2</v>
      </c>
      <c r="K297" s="71">
        <v>5.3701148999999997E-2</v>
      </c>
      <c r="L297" s="71">
        <v>-3.0096820000000001E-3</v>
      </c>
      <c r="M297" s="71">
        <v>2.1734900000000001E-4</v>
      </c>
      <c r="N297" s="71">
        <v>5.3272789999999999E-3</v>
      </c>
      <c r="O297" s="71">
        <v>1.2318064E-2</v>
      </c>
      <c r="P297" s="71">
        <v>1.7179817E-2</v>
      </c>
      <c r="Q297" s="71">
        <v>2.0879133000000001E-2</v>
      </c>
      <c r="R297" s="71">
        <v>2.4730605999999999E-2</v>
      </c>
      <c r="S297" s="71">
        <v>7.8587559000000001E-2</v>
      </c>
      <c r="T297" s="71">
        <v>7.6322485999999995E-2</v>
      </c>
      <c r="U297" s="71">
        <v>7.8711742000000001E-2</v>
      </c>
      <c r="V297" s="71">
        <v>8.1204102E-2</v>
      </c>
      <c r="W297" s="71">
        <v>8.3185696000000003E-2</v>
      </c>
      <c r="X297" s="71">
        <v>8.3873381999999996E-2</v>
      </c>
      <c r="Y297" s="71">
        <v>8.3389340000000006E-2</v>
      </c>
      <c r="Z297" s="71">
        <v>8.3197110000000005E-3</v>
      </c>
      <c r="AA297" s="71">
        <v>1.0757203999999999E-2</v>
      </c>
      <c r="AB297" s="71">
        <v>1.2876181E-2</v>
      </c>
      <c r="AC297" s="71">
        <v>1.7106776000000001E-2</v>
      </c>
      <c r="AD297" s="71">
        <v>2.1407228E-2</v>
      </c>
      <c r="AE297" s="71">
        <v>2.5377039000000001E-2</v>
      </c>
      <c r="AF297" s="71">
        <v>2.7322921999999999E-2</v>
      </c>
      <c r="AG297" s="71">
        <v>6.5844533999999996E-2</v>
      </c>
      <c r="AH297" s="71">
        <v>6.597857E-2</v>
      </c>
      <c r="AI297" s="71">
        <v>7.0449233999999999E-2</v>
      </c>
      <c r="AJ297" s="71">
        <v>7.5919776999999994E-2</v>
      </c>
      <c r="AK297" s="71">
        <v>7.8462537999999998E-2</v>
      </c>
      <c r="AL297" s="71">
        <v>7.9236754000000006E-2</v>
      </c>
      <c r="AM297" s="71">
        <v>8.0746208999999999E-2</v>
      </c>
      <c r="AN297" s="71">
        <v>9.0749749000000005E-2</v>
      </c>
      <c r="AO297" s="71">
        <v>8.4704536999999996E-2</v>
      </c>
      <c r="AP297" s="71">
        <v>0.69205402699999996</v>
      </c>
    </row>
    <row r="298" spans="1:42" x14ac:dyDescent="0.2">
      <c r="A298" t="s">
        <v>345</v>
      </c>
      <c r="B298" t="s">
        <v>102</v>
      </c>
      <c r="C298" t="s">
        <v>107</v>
      </c>
      <c r="D298" t="s">
        <v>100</v>
      </c>
      <c r="E298" s="71">
        <v>3.1684385000000002E-2</v>
      </c>
      <c r="F298" s="71">
        <v>3.4790741E-2</v>
      </c>
      <c r="G298" s="71">
        <v>4.2232499999999999E-2</v>
      </c>
      <c r="H298" s="71">
        <v>5.2822577000000003E-2</v>
      </c>
      <c r="I298" s="71">
        <v>6.0067997999999997E-2</v>
      </c>
      <c r="J298" s="71">
        <v>6.4990149999999997E-2</v>
      </c>
      <c r="K298" s="71">
        <v>6.8449364999999998E-2</v>
      </c>
      <c r="L298" s="71">
        <v>-1.1135423E-2</v>
      </c>
      <c r="M298" s="71">
        <v>-4.9704190000000002E-3</v>
      </c>
      <c r="N298" s="71">
        <v>4.6884750000000001E-3</v>
      </c>
      <c r="O298" s="71">
        <v>1.6320823000000002E-2</v>
      </c>
      <c r="P298" s="71">
        <v>2.5643284999999998E-2</v>
      </c>
      <c r="Q298" s="71">
        <v>3.2211645999999997E-2</v>
      </c>
      <c r="R298" s="71">
        <v>3.7502931000000003E-2</v>
      </c>
      <c r="S298" s="71">
        <v>7.6734732999999999E-2</v>
      </c>
      <c r="T298" s="71">
        <v>7.6554671000000005E-2</v>
      </c>
      <c r="U298" s="71">
        <v>8.1733024000000001E-2</v>
      </c>
      <c r="V298" s="71">
        <v>8.9879041000000007E-2</v>
      </c>
      <c r="W298" s="71">
        <v>9.5385077999999998E-2</v>
      </c>
      <c r="X298" s="71">
        <v>9.8101544999999998E-2</v>
      </c>
      <c r="Y298" s="71">
        <v>0.100789634</v>
      </c>
      <c r="Z298" s="71">
        <v>8.0437800000000002E-4</v>
      </c>
      <c r="AA298" s="71">
        <v>4.2536750000000002E-3</v>
      </c>
      <c r="AB298" s="71">
        <v>1.2081275000000001E-2</v>
      </c>
      <c r="AC298" s="71">
        <v>2.2713094E-2</v>
      </c>
      <c r="AD298" s="71">
        <v>3.0842913999999999E-2</v>
      </c>
      <c r="AE298" s="71">
        <v>3.6633575000000002E-2</v>
      </c>
      <c r="AF298" s="71">
        <v>4.0722838999999997E-2</v>
      </c>
      <c r="AG298" s="71">
        <v>6.3476061E-2</v>
      </c>
      <c r="AH298" s="71">
        <v>6.6217890000000001E-2</v>
      </c>
      <c r="AI298" s="71">
        <v>7.3249666000000005E-2</v>
      </c>
      <c r="AJ298" s="71">
        <v>8.3795254E-2</v>
      </c>
      <c r="AK298" s="71">
        <v>9.0104603000000005E-2</v>
      </c>
      <c r="AL298" s="71">
        <v>9.4109240999999996E-2</v>
      </c>
      <c r="AM298" s="71">
        <v>9.6904321000000002E-2</v>
      </c>
      <c r="AN298" s="71">
        <v>0.103346864</v>
      </c>
      <c r="AO298" s="71">
        <v>0.119941911</v>
      </c>
      <c r="AP298" s="71">
        <v>0.70046467599999995</v>
      </c>
    </row>
    <row r="299" spans="1:42" x14ac:dyDescent="0.2">
      <c r="A299" t="s">
        <v>138</v>
      </c>
      <c r="B299" t="s">
        <v>102</v>
      </c>
      <c r="C299" t="s">
        <v>141</v>
      </c>
      <c r="D299" t="s">
        <v>140</v>
      </c>
      <c r="E299" s="71">
        <v>8.9161773E-2</v>
      </c>
      <c r="F299" s="71">
        <v>8.7919016000000003E-2</v>
      </c>
      <c r="G299" s="75">
        <v>8.4877390999999996E-2</v>
      </c>
      <c r="H299" s="71">
        <v>8.0446978000000002E-2</v>
      </c>
      <c r="I299" s="71">
        <v>7.7332039000000005E-2</v>
      </c>
      <c r="J299" s="71">
        <v>7.5163741000000006E-2</v>
      </c>
      <c r="K299" s="71">
        <v>7.3609966999999998E-2</v>
      </c>
      <c r="L299" s="71">
        <v>5.5146997000000003E-2</v>
      </c>
      <c r="M299" s="71">
        <v>5.3920628999999998E-2</v>
      </c>
      <c r="N299" s="71">
        <v>4.6432783999999998E-2</v>
      </c>
      <c r="O299" s="71">
        <v>3.8310684999999997E-2</v>
      </c>
      <c r="P299" s="71">
        <v>3.4656425999999997E-2</v>
      </c>
      <c r="Q299" s="71">
        <v>3.3562096E-2</v>
      </c>
      <c r="R299" s="71">
        <v>3.3973949000000003E-2</v>
      </c>
      <c r="S299" s="71">
        <v>0.12419520100000001</v>
      </c>
      <c r="T299" s="71">
        <v>0.122711573</v>
      </c>
      <c r="U299" s="71">
        <v>0.124703966</v>
      </c>
      <c r="V299" s="71">
        <v>0.124730282</v>
      </c>
      <c r="W299" s="71">
        <v>0.122026621</v>
      </c>
      <c r="X299" s="71">
        <v>0.118839342</v>
      </c>
      <c r="Y299" s="71">
        <v>0.114955416</v>
      </c>
      <c r="Z299" s="71">
        <v>6.3536871999999994E-2</v>
      </c>
      <c r="AA299" s="71">
        <v>5.8657457000000003E-2</v>
      </c>
      <c r="AB299" s="71">
        <v>4.8250178999999997E-2</v>
      </c>
      <c r="AC299" s="71">
        <v>4.0234309000000003E-2</v>
      </c>
      <c r="AD299" s="71">
        <v>3.2936638999999997E-2</v>
      </c>
      <c r="AE299" s="71">
        <v>3.1435918E-2</v>
      </c>
      <c r="AF299" s="71">
        <v>3.2016403999999998E-2</v>
      </c>
      <c r="AG299" s="71">
        <v>0.115415923</v>
      </c>
      <c r="AH299" s="71">
        <v>0.118004976</v>
      </c>
      <c r="AI299" s="71">
        <v>0.122809476</v>
      </c>
      <c r="AJ299" s="71">
        <v>0.122244852</v>
      </c>
      <c r="AK299" s="71">
        <v>0.123673242</v>
      </c>
      <c r="AL299" s="71">
        <v>0.120781994</v>
      </c>
      <c r="AM299" s="71">
        <v>0.116912918</v>
      </c>
      <c r="AN299" s="71">
        <v>7.3943766999999994E-2</v>
      </c>
      <c r="AO299" s="71">
        <v>-4.3423867999999997E-2</v>
      </c>
      <c r="AP299" s="71">
        <v>0.55677657899999999</v>
      </c>
    </row>
    <row r="300" spans="1:42" x14ac:dyDescent="0.2">
      <c r="A300" t="s">
        <v>240</v>
      </c>
      <c r="B300" t="s">
        <v>102</v>
      </c>
      <c r="C300" t="s">
        <v>141</v>
      </c>
      <c r="D300" t="s">
        <v>140</v>
      </c>
      <c r="E300" s="71">
        <v>7.4405211999999998E-2</v>
      </c>
      <c r="F300" s="71">
        <v>7.3287863999999994E-2</v>
      </c>
      <c r="G300" s="71">
        <v>7.0603628000000002E-2</v>
      </c>
      <c r="H300" s="71">
        <v>6.6813011000000005E-2</v>
      </c>
      <c r="I300" s="71">
        <v>6.4245720000000006E-2</v>
      </c>
      <c r="J300" s="71">
        <v>6.2514682000000002E-2</v>
      </c>
      <c r="K300" s="71">
        <v>6.1304111000000001E-2</v>
      </c>
      <c r="L300" s="71">
        <v>3.1697977000000002E-2</v>
      </c>
      <c r="M300" s="71">
        <v>3.2906986999999999E-2</v>
      </c>
      <c r="N300" s="71">
        <v>2.6900104000000001E-2</v>
      </c>
      <c r="O300" s="71">
        <v>1.9385013999999999E-2</v>
      </c>
      <c r="P300" s="71">
        <v>1.7095981999999999E-2</v>
      </c>
      <c r="Q300" s="71">
        <v>1.7123190999999999E-2</v>
      </c>
      <c r="R300" s="71">
        <v>1.6307894E-2</v>
      </c>
      <c r="S300" s="71">
        <v>0.11916708299999999</v>
      </c>
      <c r="T300" s="71">
        <v>0.11566538799999999</v>
      </c>
      <c r="U300" s="71">
        <v>0.115698859</v>
      </c>
      <c r="V300" s="71">
        <v>0.115954276</v>
      </c>
      <c r="W300" s="71">
        <v>0.11310419300000001</v>
      </c>
      <c r="X300" s="71">
        <v>0.11046858599999999</v>
      </c>
      <c r="Y300" s="71">
        <v>0.107973257</v>
      </c>
      <c r="Z300" s="71">
        <v>4.7043878999999997E-2</v>
      </c>
      <c r="AA300" s="71">
        <v>4.5095397000000002E-2</v>
      </c>
      <c r="AB300" s="71">
        <v>3.5553923000000001E-2</v>
      </c>
      <c r="AC300" s="71">
        <v>2.6003017E-2</v>
      </c>
      <c r="AD300" s="71">
        <v>2.2507599E-2</v>
      </c>
      <c r="AE300" s="71">
        <v>2.0038941000000001E-2</v>
      </c>
      <c r="AF300" s="71">
        <v>2.0008479999999999E-2</v>
      </c>
      <c r="AG300" s="71">
        <v>0.102495392</v>
      </c>
      <c r="AH300" s="71">
        <v>0.102255684</v>
      </c>
      <c r="AI300" s="71">
        <v>0.106862867</v>
      </c>
      <c r="AJ300" s="71">
        <v>0.10927851500000001</v>
      </c>
      <c r="AK300" s="71">
        <v>0.10772172300000001</v>
      </c>
      <c r="AL300" s="71">
        <v>0.10679446300000001</v>
      </c>
      <c r="AM300" s="71">
        <v>0.10430534399999999</v>
      </c>
      <c r="AN300" s="71">
        <v>0.106489107</v>
      </c>
      <c r="AO300" s="71">
        <v>-0.239309571</v>
      </c>
      <c r="AP300" s="71">
        <v>0.13972700599999999</v>
      </c>
    </row>
    <row r="301" spans="1:42" x14ac:dyDescent="0.2">
      <c r="A301" t="s">
        <v>224</v>
      </c>
      <c r="B301" t="s">
        <v>102</v>
      </c>
      <c r="C301" t="s">
        <v>141</v>
      </c>
      <c r="D301" t="s">
        <v>140</v>
      </c>
      <c r="E301" s="71">
        <v>7.8693051E-2</v>
      </c>
      <c r="F301" s="71">
        <v>7.7655096000000007E-2</v>
      </c>
      <c r="G301" s="71">
        <v>7.5044769999999997E-2</v>
      </c>
      <c r="H301" s="71">
        <v>7.1075816E-2</v>
      </c>
      <c r="I301" s="71">
        <v>6.8148632000000001E-2</v>
      </c>
      <c r="J301" s="71">
        <v>6.6032906000000002E-2</v>
      </c>
      <c r="K301" s="71">
        <v>6.4474720999999999E-2</v>
      </c>
      <c r="L301" s="71">
        <v>3.6632970000000001E-2</v>
      </c>
      <c r="M301" s="71">
        <v>3.7790796000000001E-2</v>
      </c>
      <c r="N301" s="71">
        <v>3.2435497000000001E-2</v>
      </c>
      <c r="O301" s="71">
        <v>2.7305619E-2</v>
      </c>
      <c r="P301" s="71">
        <v>2.4323002999999999E-2</v>
      </c>
      <c r="Q301" s="71">
        <v>2.3902983999999999E-2</v>
      </c>
      <c r="R301" s="71">
        <v>2.3668027000000001E-2</v>
      </c>
      <c r="S301" s="71">
        <v>0.122949406</v>
      </c>
      <c r="T301" s="71">
        <v>0.119081646</v>
      </c>
      <c r="U301" s="71">
        <v>0.118207637</v>
      </c>
      <c r="V301" s="71">
        <v>0.11685390700000001</v>
      </c>
      <c r="W301" s="71">
        <v>0.113311683</v>
      </c>
      <c r="X301" s="71">
        <v>0.109395277</v>
      </c>
      <c r="Y301" s="71">
        <v>0.106601403</v>
      </c>
      <c r="Z301" s="71">
        <v>4.9602315000000001E-2</v>
      </c>
      <c r="AA301" s="71">
        <v>4.6352669999999999E-2</v>
      </c>
      <c r="AB301" s="71">
        <v>3.9764656000000002E-2</v>
      </c>
      <c r="AC301" s="71">
        <v>3.1571222000000003E-2</v>
      </c>
      <c r="AD301" s="71">
        <v>2.8125152E-2</v>
      </c>
      <c r="AE301" s="71">
        <v>2.6336497E-2</v>
      </c>
      <c r="AF301" s="71">
        <v>2.5916346E-2</v>
      </c>
      <c r="AG301" s="71">
        <v>0.10860573900000001</v>
      </c>
      <c r="AH301" s="71">
        <v>0.10991216099999999</v>
      </c>
      <c r="AI301" s="71">
        <v>0.11154552500000001</v>
      </c>
      <c r="AJ301" s="71">
        <v>0.112123345</v>
      </c>
      <c r="AK301" s="71">
        <v>0.109761029</v>
      </c>
      <c r="AL301" s="71">
        <v>0.107295233</v>
      </c>
      <c r="AM301" s="71">
        <v>0.104511015</v>
      </c>
      <c r="AN301" s="71">
        <v>0.10061134100000001</v>
      </c>
      <c r="AO301" s="71">
        <v>-7.5830965E-2</v>
      </c>
      <c r="AP301" s="71">
        <v>0.122202642</v>
      </c>
    </row>
    <row r="302" spans="1:42" x14ac:dyDescent="0.2">
      <c r="A302" t="s">
        <v>200</v>
      </c>
      <c r="B302" t="s">
        <v>102</v>
      </c>
      <c r="C302" t="s">
        <v>141</v>
      </c>
      <c r="D302" t="s">
        <v>140</v>
      </c>
      <c r="E302" s="71">
        <v>5.4003257999999998E-2</v>
      </c>
      <c r="F302" s="71">
        <v>5.3601760999999998E-2</v>
      </c>
      <c r="G302" s="71">
        <v>5.2451748999999999E-2</v>
      </c>
      <c r="H302" s="71">
        <v>5.0571698999999998E-2</v>
      </c>
      <c r="I302" s="71">
        <v>4.9190659999999997E-2</v>
      </c>
      <c r="J302" s="71">
        <v>4.8229117000000002E-2</v>
      </c>
      <c r="K302" s="71">
        <v>4.7547956000000002E-2</v>
      </c>
      <c r="L302" s="71">
        <v>6.3489009999999997E-3</v>
      </c>
      <c r="M302" s="71">
        <v>9.3359610000000003E-3</v>
      </c>
      <c r="N302" s="71">
        <v>6.9303840000000004E-3</v>
      </c>
      <c r="O302" s="71">
        <v>3.347324E-3</v>
      </c>
      <c r="P302" s="71">
        <v>2.8806169999999998E-3</v>
      </c>
      <c r="Q302" s="71">
        <v>3.501447E-3</v>
      </c>
      <c r="R302" s="71">
        <v>4.2218849999999999E-3</v>
      </c>
      <c r="S302" s="71">
        <v>0.10416631899999999</v>
      </c>
      <c r="T302" s="71">
        <v>9.9834038E-2</v>
      </c>
      <c r="U302" s="71">
        <v>0.100086303</v>
      </c>
      <c r="V302" s="71">
        <v>9.8963508000000006E-2</v>
      </c>
      <c r="W302" s="71">
        <v>9.7377134000000004E-2</v>
      </c>
      <c r="X302" s="71">
        <v>9.4288076999999998E-2</v>
      </c>
      <c r="Y302" s="71">
        <v>9.2113388000000004E-2</v>
      </c>
      <c r="Z302" s="71">
        <v>2.5638892E-2</v>
      </c>
      <c r="AA302" s="71">
        <v>2.3211589000000001E-2</v>
      </c>
      <c r="AB302" s="71">
        <v>1.6966367E-2</v>
      </c>
      <c r="AC302" s="71">
        <v>9.7687320000000005E-3</v>
      </c>
      <c r="AD302" s="71">
        <v>6.762199E-3</v>
      </c>
      <c r="AE302" s="71">
        <v>7.165561E-3</v>
      </c>
      <c r="AF302" s="71">
        <v>8.4233520000000003E-3</v>
      </c>
      <c r="AG302" s="71">
        <v>8.3167498000000006E-2</v>
      </c>
      <c r="AH302" s="71">
        <v>8.4912339000000003E-2</v>
      </c>
      <c r="AI302" s="71">
        <v>8.9200171999999994E-2</v>
      </c>
      <c r="AJ302" s="71">
        <v>9.3056816000000001E-2</v>
      </c>
      <c r="AK302" s="71">
        <v>9.3443434000000006E-2</v>
      </c>
      <c r="AL302" s="71">
        <v>9.1000849999999994E-2</v>
      </c>
      <c r="AM302" s="71">
        <v>8.8221341999999994E-2</v>
      </c>
      <c r="AN302" s="71">
        <v>0.12430793699999999</v>
      </c>
      <c r="AO302" s="71">
        <v>-0.39586423300000001</v>
      </c>
      <c r="AP302" s="71">
        <v>0.40252211999999998</v>
      </c>
    </row>
    <row r="303" spans="1:42" x14ac:dyDescent="0.2">
      <c r="A303" t="s">
        <v>259</v>
      </c>
      <c r="B303" t="s">
        <v>102</v>
      </c>
      <c r="C303" t="s">
        <v>141</v>
      </c>
      <c r="D303" t="s">
        <v>140</v>
      </c>
      <c r="E303" s="71">
        <v>7.7886480999999994E-2</v>
      </c>
      <c r="F303" s="71">
        <v>7.6524395999999995E-2</v>
      </c>
      <c r="G303" s="71">
        <v>7.3021789000000004E-2</v>
      </c>
      <c r="H303" s="71">
        <v>6.7680736000000005E-2</v>
      </c>
      <c r="I303" s="71">
        <v>6.3849468000000006E-2</v>
      </c>
      <c r="J303" s="71">
        <v>6.1190385999999999E-2</v>
      </c>
      <c r="K303" s="71">
        <v>5.9305806000000003E-2</v>
      </c>
      <c r="L303" s="71">
        <v>3.1035967000000001E-2</v>
      </c>
      <c r="M303" s="71">
        <v>3.3345569999999998E-2</v>
      </c>
      <c r="N303" s="71">
        <v>2.8720803999999999E-2</v>
      </c>
      <c r="O303" s="71">
        <v>2.1264133000000001E-2</v>
      </c>
      <c r="P303" s="71">
        <v>1.7642819000000001E-2</v>
      </c>
      <c r="Q303" s="71">
        <v>1.6669268000000001E-2</v>
      </c>
      <c r="R303" s="71">
        <v>1.7272052999999999E-2</v>
      </c>
      <c r="S303" s="71">
        <v>0.126564652</v>
      </c>
      <c r="T303" s="71">
        <v>0.12146973699999999</v>
      </c>
      <c r="U303" s="71">
        <v>0.119847838</v>
      </c>
      <c r="V303" s="71">
        <v>0.115701706</v>
      </c>
      <c r="W303" s="71">
        <v>0.111290628</v>
      </c>
      <c r="X303" s="71">
        <v>0.10758767499999999</v>
      </c>
      <c r="Y303" s="71">
        <v>0.10272197299999999</v>
      </c>
      <c r="Z303" s="71">
        <v>4.9175261999999997E-2</v>
      </c>
      <c r="AA303" s="71">
        <v>4.5756928000000002E-2</v>
      </c>
      <c r="AB303" s="71">
        <v>3.6357059999999997E-2</v>
      </c>
      <c r="AC303" s="71">
        <v>2.6513503000000001E-2</v>
      </c>
      <c r="AD303" s="71">
        <v>2.3277875999999999E-2</v>
      </c>
      <c r="AE303" s="71">
        <v>2.1340610999999999E-2</v>
      </c>
      <c r="AF303" s="71">
        <v>2.1730965000000001E-2</v>
      </c>
      <c r="AG303" s="71">
        <v>0.107398749</v>
      </c>
      <c r="AH303" s="71">
        <v>0.10821449599999999</v>
      </c>
      <c r="AI303" s="71">
        <v>0.111009252</v>
      </c>
      <c r="AJ303" s="71">
        <v>0.110531663</v>
      </c>
      <c r="AK303" s="71">
        <v>0.106061752</v>
      </c>
      <c r="AL303" s="71">
        <v>0.102626023</v>
      </c>
      <c r="AM303" s="71">
        <v>9.8289891000000004E-2</v>
      </c>
      <c r="AN303" s="71">
        <v>0.116260424</v>
      </c>
      <c r="AO303" s="71">
        <v>-0.27715477500000002</v>
      </c>
      <c r="AP303" s="71">
        <v>0.227649987</v>
      </c>
    </row>
    <row r="304" spans="1:42" x14ac:dyDescent="0.2">
      <c r="A304" t="s">
        <v>288</v>
      </c>
      <c r="B304" t="s">
        <v>102</v>
      </c>
      <c r="C304" t="s">
        <v>141</v>
      </c>
      <c r="D304" t="s">
        <v>140</v>
      </c>
      <c r="E304" s="71">
        <v>8.6299795999999998E-2</v>
      </c>
      <c r="F304" s="71">
        <v>8.5374969999999994E-2</v>
      </c>
      <c r="G304" s="71">
        <v>8.3142179999999996E-2</v>
      </c>
      <c r="H304" s="71">
        <v>7.9976578000000006E-2</v>
      </c>
      <c r="I304" s="71">
        <v>7.7828188000000006E-2</v>
      </c>
      <c r="J304" s="71">
        <v>7.6378006999999998E-2</v>
      </c>
      <c r="K304" s="71">
        <v>7.5363773999999994E-2</v>
      </c>
      <c r="L304" s="71">
        <v>3.9977145999999998E-2</v>
      </c>
      <c r="M304" s="71">
        <v>4.2585247E-2</v>
      </c>
      <c r="N304" s="71">
        <v>3.8204046999999998E-2</v>
      </c>
      <c r="O304" s="71">
        <v>3.4722736999999997E-2</v>
      </c>
      <c r="P304" s="71">
        <v>3.2315734999999998E-2</v>
      </c>
      <c r="Q304" s="71">
        <v>3.2489200000000003E-2</v>
      </c>
      <c r="R304" s="71">
        <v>3.3630345999999998E-2</v>
      </c>
      <c r="S304" s="71">
        <v>0.13414220600000001</v>
      </c>
      <c r="T304" s="71">
        <v>0.13080888399999999</v>
      </c>
      <c r="U304" s="71">
        <v>0.129916277</v>
      </c>
      <c r="V304" s="71">
        <v>0.127985931</v>
      </c>
      <c r="W304" s="71">
        <v>0.12567847500000001</v>
      </c>
      <c r="X304" s="71">
        <v>0.121999968</v>
      </c>
      <c r="Y304" s="71">
        <v>0.119147508</v>
      </c>
      <c r="Z304" s="71">
        <v>5.8044593999999998E-2</v>
      </c>
      <c r="AA304" s="71">
        <v>5.5377899000000001E-2</v>
      </c>
      <c r="AB304" s="71">
        <v>4.7399291000000003E-2</v>
      </c>
      <c r="AC304" s="71">
        <v>4.1099090999999997E-2</v>
      </c>
      <c r="AD304" s="71">
        <v>3.7523776000000002E-2</v>
      </c>
      <c r="AE304" s="71">
        <v>3.6976492999999999E-2</v>
      </c>
      <c r="AF304" s="71">
        <v>3.4947604E-2</v>
      </c>
      <c r="AG304" s="71">
        <v>0.115324064</v>
      </c>
      <c r="AH304" s="71">
        <v>0.116241332</v>
      </c>
      <c r="AI304" s="71">
        <v>0.12012865</v>
      </c>
      <c r="AJ304" s="71">
        <v>0.120334363</v>
      </c>
      <c r="AK304" s="71">
        <v>0.119728947</v>
      </c>
      <c r="AL304" s="71">
        <v>0.117306226</v>
      </c>
      <c r="AM304" s="71">
        <v>0.117389435</v>
      </c>
      <c r="AN304" s="71">
        <v>0.115544327</v>
      </c>
      <c r="AO304" s="71">
        <v>-0.12839009400000001</v>
      </c>
      <c r="AP304" s="71">
        <v>0.347718419</v>
      </c>
    </row>
    <row r="305" spans="1:42" x14ac:dyDescent="0.2">
      <c r="A305" t="s">
        <v>272</v>
      </c>
      <c r="B305" t="s">
        <v>102</v>
      </c>
      <c r="C305" t="s">
        <v>141</v>
      </c>
      <c r="D305" t="s">
        <v>140</v>
      </c>
      <c r="E305" s="71">
        <v>6.9761295000000001E-2</v>
      </c>
      <c r="F305" s="71">
        <v>6.9589753000000004E-2</v>
      </c>
      <c r="G305" s="71">
        <v>6.9057245000000003E-2</v>
      </c>
      <c r="H305" s="71">
        <v>6.8104644000000006E-2</v>
      </c>
      <c r="I305" s="71">
        <v>6.7354937000000004E-2</v>
      </c>
      <c r="J305" s="71">
        <v>6.6813965000000003E-2</v>
      </c>
      <c r="K305" s="71">
        <v>6.6423792999999995E-2</v>
      </c>
      <c r="L305" s="71">
        <v>3.1311604999999999E-2</v>
      </c>
      <c r="M305" s="71">
        <v>3.2426869999999997E-2</v>
      </c>
      <c r="N305" s="71">
        <v>2.8428391000000001E-2</v>
      </c>
      <c r="O305" s="71">
        <v>2.4951478999999999E-2</v>
      </c>
      <c r="P305" s="71">
        <v>2.433316E-2</v>
      </c>
      <c r="Q305" s="71">
        <v>2.4760187999999999E-2</v>
      </c>
      <c r="R305" s="71">
        <v>2.693804E-2</v>
      </c>
      <c r="S305" s="71">
        <v>0.109455408</v>
      </c>
      <c r="T305" s="71">
        <v>0.108299221</v>
      </c>
      <c r="U305" s="71">
        <v>0.112269114</v>
      </c>
      <c r="V305" s="71">
        <v>0.114413404</v>
      </c>
      <c r="W305" s="71">
        <v>0.112079999</v>
      </c>
      <c r="X305" s="71">
        <v>0.110600298</v>
      </c>
      <c r="Y305" s="71">
        <v>0.107724392</v>
      </c>
      <c r="Z305" s="71">
        <v>4.3161554999999997E-2</v>
      </c>
      <c r="AA305" s="71">
        <v>4.1157647999999998E-2</v>
      </c>
      <c r="AB305" s="71">
        <v>3.4672774000000003E-2</v>
      </c>
      <c r="AC305" s="71">
        <v>2.7104538000000001E-2</v>
      </c>
      <c r="AD305" s="71">
        <v>2.5071685E-2</v>
      </c>
      <c r="AE305" s="71">
        <v>2.7221866000000001E-2</v>
      </c>
      <c r="AF305" s="71">
        <v>2.7780622000000001E-2</v>
      </c>
      <c r="AG305" s="71">
        <v>9.7052558999999997E-2</v>
      </c>
      <c r="AH305" s="71">
        <v>9.8813503999999996E-2</v>
      </c>
      <c r="AI305" s="71">
        <v>0.104606843</v>
      </c>
      <c r="AJ305" s="71">
        <v>0.110773727</v>
      </c>
      <c r="AK305" s="71">
        <v>0.11141717499999999</v>
      </c>
      <c r="AL305" s="71">
        <v>0.10796238599999999</v>
      </c>
      <c r="AM305" s="71">
        <v>0.106548924</v>
      </c>
      <c r="AN305" s="71">
        <v>9.0743260000000006E-2</v>
      </c>
      <c r="AO305" s="71">
        <v>-3.6412717999999997E-2</v>
      </c>
      <c r="AP305" s="71">
        <v>0.261740272</v>
      </c>
    </row>
    <row r="306" spans="1:42" x14ac:dyDescent="0.2">
      <c r="A306" t="s">
        <v>178</v>
      </c>
      <c r="B306" t="s">
        <v>102</v>
      </c>
      <c r="C306" t="s">
        <v>141</v>
      </c>
      <c r="D306" t="s">
        <v>140</v>
      </c>
      <c r="E306" s="71">
        <v>7.5846572000000001E-2</v>
      </c>
      <c r="F306" s="71">
        <v>7.5862664999999996E-2</v>
      </c>
      <c r="G306" s="71">
        <v>7.5580139000000005E-2</v>
      </c>
      <c r="H306" s="71">
        <v>7.4766535999999995E-2</v>
      </c>
      <c r="I306" s="71">
        <v>7.4052710999999993E-2</v>
      </c>
      <c r="J306" s="71">
        <v>7.3528309E-2</v>
      </c>
      <c r="K306" s="71">
        <v>7.3149343000000006E-2</v>
      </c>
      <c r="L306" s="71">
        <v>2.5848362E-2</v>
      </c>
      <c r="M306" s="71">
        <v>2.9494282E-2</v>
      </c>
      <c r="N306" s="71">
        <v>2.8565997999999999E-2</v>
      </c>
      <c r="O306" s="71">
        <v>2.6029172E-2</v>
      </c>
      <c r="P306" s="71">
        <v>2.7026445999999999E-2</v>
      </c>
      <c r="Q306" s="71">
        <v>2.8432414E-2</v>
      </c>
      <c r="R306" s="71">
        <v>3.0214871000000001E-2</v>
      </c>
      <c r="S306" s="71">
        <v>0.12819720600000001</v>
      </c>
      <c r="T306" s="71">
        <v>0.123267891</v>
      </c>
      <c r="U306" s="71">
        <v>0.12476045099999999</v>
      </c>
      <c r="V306" s="71">
        <v>0.12552922399999999</v>
      </c>
      <c r="W306" s="71">
        <v>0.124027627</v>
      </c>
      <c r="X306" s="71">
        <v>0.120544899</v>
      </c>
      <c r="Y306" s="71">
        <v>0.118172137</v>
      </c>
      <c r="Z306" s="71">
        <v>4.5531753000000001E-2</v>
      </c>
      <c r="AA306" s="71">
        <v>4.4238583999999997E-2</v>
      </c>
      <c r="AB306" s="71">
        <v>3.9546403000000001E-2</v>
      </c>
      <c r="AC306" s="71">
        <v>3.4976920000000002E-2</v>
      </c>
      <c r="AD306" s="71">
        <v>3.2802462999999997E-2</v>
      </c>
      <c r="AE306" s="71">
        <v>3.1430311000000002E-2</v>
      </c>
      <c r="AF306" s="71">
        <v>3.4023619999999997E-2</v>
      </c>
      <c r="AG306" s="71">
        <v>0.10705753</v>
      </c>
      <c r="AH306" s="71">
        <v>0.10846291499999999</v>
      </c>
      <c r="AI306" s="71">
        <v>0.11288749300000001</v>
      </c>
      <c r="AJ306" s="71">
        <v>0.116116041</v>
      </c>
      <c r="AK306" s="71">
        <v>0.11698304900000001</v>
      </c>
      <c r="AL306" s="71">
        <v>0.117378395</v>
      </c>
      <c r="AM306" s="71">
        <v>0.11378466399999999</v>
      </c>
      <c r="AN306" s="71">
        <v>0.126089694</v>
      </c>
      <c r="AO306" s="71">
        <v>-0.178819173</v>
      </c>
      <c r="AP306" s="71">
        <v>0.434156088</v>
      </c>
    </row>
    <row r="307" spans="1:42" x14ac:dyDescent="0.2">
      <c r="A307" t="s">
        <v>191</v>
      </c>
      <c r="B307" t="s">
        <v>102</v>
      </c>
      <c r="C307" t="s">
        <v>141</v>
      </c>
      <c r="D307" t="s">
        <v>140</v>
      </c>
      <c r="E307" s="71">
        <v>9.7132463000000002E-2</v>
      </c>
      <c r="F307" s="71">
        <v>9.6585649999999995E-2</v>
      </c>
      <c r="G307" s="71">
        <v>9.5541138999999997E-2</v>
      </c>
      <c r="H307" s="71">
        <v>9.4517131000000004E-2</v>
      </c>
      <c r="I307" s="71">
        <v>9.4060082000000003E-2</v>
      </c>
      <c r="J307" s="71">
        <v>9.3833227000000005E-2</v>
      </c>
      <c r="K307" s="71">
        <v>9.3701501000000006E-2</v>
      </c>
      <c r="L307" s="71">
        <v>5.1571181000000001E-2</v>
      </c>
      <c r="M307" s="71">
        <v>5.3825984E-2</v>
      </c>
      <c r="N307" s="71">
        <v>5.2137265000000002E-2</v>
      </c>
      <c r="O307" s="71">
        <v>4.9254149999999997E-2</v>
      </c>
      <c r="P307" s="71">
        <v>4.9252421999999997E-2</v>
      </c>
      <c r="Q307" s="71">
        <v>5.0209175000000002E-2</v>
      </c>
      <c r="R307" s="71">
        <v>5.1826847000000002E-2</v>
      </c>
      <c r="S307" s="71">
        <v>0.14449625999999999</v>
      </c>
      <c r="T307" s="71">
        <v>0.14084196500000001</v>
      </c>
      <c r="U307" s="71">
        <v>0.140569678</v>
      </c>
      <c r="V307" s="71">
        <v>0.14240375999999999</v>
      </c>
      <c r="W307" s="71">
        <v>0.14120358</v>
      </c>
      <c r="X307" s="71">
        <v>0.139600326</v>
      </c>
      <c r="Y307" s="71">
        <v>0.137419816</v>
      </c>
      <c r="Z307" s="71">
        <v>6.6680992999999994E-2</v>
      </c>
      <c r="AA307" s="71">
        <v>6.3043757000000006E-2</v>
      </c>
      <c r="AB307" s="71">
        <v>5.7173993999999999E-2</v>
      </c>
      <c r="AC307" s="71">
        <v>5.1290714000000001E-2</v>
      </c>
      <c r="AD307" s="71">
        <v>5.138525E-2</v>
      </c>
      <c r="AE307" s="71">
        <v>5.2912134E-2</v>
      </c>
      <c r="AF307" s="71">
        <v>5.3129414999999999E-2</v>
      </c>
      <c r="AG307" s="71">
        <v>0.12846991499999999</v>
      </c>
      <c r="AH307" s="71">
        <v>0.13120600099999999</v>
      </c>
      <c r="AI307" s="71">
        <v>0.135327384</v>
      </c>
      <c r="AJ307" s="71">
        <v>0.13955526200000001</v>
      </c>
      <c r="AK307" s="71">
        <v>0.13850072499999999</v>
      </c>
      <c r="AL307" s="71">
        <v>0.13637542999999999</v>
      </c>
      <c r="AM307" s="71">
        <v>0.13586693799999999</v>
      </c>
      <c r="AN307" s="71">
        <v>0.10769234900000001</v>
      </c>
      <c r="AO307" s="71">
        <v>1.0181688E-2</v>
      </c>
      <c r="AP307" s="71">
        <v>0.36777171800000003</v>
      </c>
    </row>
    <row r="308" spans="1:42" x14ac:dyDescent="0.2">
      <c r="A308" t="s">
        <v>254</v>
      </c>
      <c r="B308" t="s">
        <v>102</v>
      </c>
      <c r="C308" t="s">
        <v>141</v>
      </c>
      <c r="D308" t="s">
        <v>140</v>
      </c>
      <c r="E308" s="71">
        <v>7.3796649000000006E-2</v>
      </c>
      <c r="F308" s="71">
        <v>7.4351925999999999E-2</v>
      </c>
      <c r="G308" s="71">
        <v>7.538106E-2</v>
      </c>
      <c r="H308" s="71">
        <v>7.6280971000000003E-2</v>
      </c>
      <c r="I308" s="71">
        <v>7.6570529999999998E-2</v>
      </c>
      <c r="J308" s="71">
        <v>7.6644320000000002E-2</v>
      </c>
      <c r="K308" s="71">
        <v>7.6651710999999997E-2</v>
      </c>
      <c r="L308" s="71">
        <v>3.1242410000000002E-2</v>
      </c>
      <c r="M308" s="71">
        <v>3.3888178999999997E-2</v>
      </c>
      <c r="N308" s="71">
        <v>3.2544766000000003E-2</v>
      </c>
      <c r="O308" s="71">
        <v>3.0628220000000001E-2</v>
      </c>
      <c r="P308" s="71">
        <v>3.1328917999999997E-2</v>
      </c>
      <c r="Q308" s="71">
        <v>3.3504051E-2</v>
      </c>
      <c r="R308" s="71">
        <v>3.4708082000000001E-2</v>
      </c>
      <c r="S308" s="71">
        <v>0.11831849799999999</v>
      </c>
      <c r="T308" s="71">
        <v>0.116535948</v>
      </c>
      <c r="U308" s="71">
        <v>0.120814927</v>
      </c>
      <c r="V308" s="71">
        <v>0.123954103</v>
      </c>
      <c r="W308" s="71">
        <v>0.12400678399999999</v>
      </c>
      <c r="X308" s="71">
        <v>0.121877204</v>
      </c>
      <c r="Y308" s="71">
        <v>0.12036105800000001</v>
      </c>
      <c r="Z308" s="71">
        <v>4.5597139000000002E-2</v>
      </c>
      <c r="AA308" s="71">
        <v>4.4647711E-2</v>
      </c>
      <c r="AB308" s="71">
        <v>4.0641040000000003E-2</v>
      </c>
      <c r="AC308" s="71">
        <v>3.2700110999999997E-2</v>
      </c>
      <c r="AD308" s="71">
        <v>3.2508822999999999E-2</v>
      </c>
      <c r="AE308" s="71">
        <v>3.3210302999999997E-2</v>
      </c>
      <c r="AF308" s="71">
        <v>3.5675150000000003E-2</v>
      </c>
      <c r="AG308" s="71">
        <v>0.102771553</v>
      </c>
      <c r="AH308" s="71">
        <v>0.10491745500000001</v>
      </c>
      <c r="AI308" s="71">
        <v>0.111303598</v>
      </c>
      <c r="AJ308" s="71">
        <v>0.121737385</v>
      </c>
      <c r="AK308" s="71">
        <v>0.12254975999999999</v>
      </c>
      <c r="AL308" s="71">
        <v>0.121940101</v>
      </c>
      <c r="AM308" s="71">
        <v>0.11928164500000001</v>
      </c>
      <c r="AN308" s="71">
        <v>0.10457888999999999</v>
      </c>
      <c r="AO308" s="71">
        <v>-0.184370486</v>
      </c>
      <c r="AP308" s="71">
        <v>0.539729232</v>
      </c>
    </row>
    <row r="309" spans="1:42" x14ac:dyDescent="0.2">
      <c r="A309" t="s">
        <v>214</v>
      </c>
      <c r="B309" t="s">
        <v>102</v>
      </c>
      <c r="C309" t="s">
        <v>141</v>
      </c>
      <c r="D309" t="s">
        <v>140</v>
      </c>
      <c r="E309" s="71">
        <v>8.9503187999999997E-2</v>
      </c>
      <c r="F309" s="71">
        <v>8.8022132000000003E-2</v>
      </c>
      <c r="G309" s="71">
        <v>8.4504742999999993E-2</v>
      </c>
      <c r="H309" s="71">
        <v>7.9629439999999996E-2</v>
      </c>
      <c r="I309" s="71">
        <v>7.6397199999999998E-2</v>
      </c>
      <c r="J309" s="71">
        <v>7.4254174000000006E-2</v>
      </c>
      <c r="K309" s="71">
        <v>7.2773832999999996E-2</v>
      </c>
      <c r="L309" s="71">
        <v>5.6363257999999999E-2</v>
      </c>
      <c r="M309" s="71">
        <v>5.4424617000000002E-2</v>
      </c>
      <c r="N309" s="71">
        <v>4.6618831999999999E-2</v>
      </c>
      <c r="O309" s="71">
        <v>3.8169769999999999E-2</v>
      </c>
      <c r="P309" s="71">
        <v>3.4630394000000002E-2</v>
      </c>
      <c r="Q309" s="71">
        <v>3.3678840000000002E-2</v>
      </c>
      <c r="R309" s="71">
        <v>3.3625222000000003E-2</v>
      </c>
      <c r="S309" s="71">
        <v>0.124161494</v>
      </c>
      <c r="T309" s="71">
        <v>0.122546215</v>
      </c>
      <c r="U309" s="71">
        <v>0.12381070600000001</v>
      </c>
      <c r="V309" s="71">
        <v>0.122405735</v>
      </c>
      <c r="W309" s="71">
        <v>0.119842489</v>
      </c>
      <c r="X309" s="71">
        <v>0.117285</v>
      </c>
      <c r="Y309" s="71">
        <v>0.11345773100000001</v>
      </c>
      <c r="Z309" s="71">
        <v>6.4843098000000002E-2</v>
      </c>
      <c r="AA309" s="71">
        <v>6.1891292000000001E-2</v>
      </c>
      <c r="AB309" s="71">
        <v>5.1306206E-2</v>
      </c>
      <c r="AC309" s="71">
        <v>4.0924072999999998E-2</v>
      </c>
      <c r="AD309" s="71">
        <v>3.7770344999999997E-2</v>
      </c>
      <c r="AE309" s="71">
        <v>3.5207199000000002E-2</v>
      </c>
      <c r="AF309" s="71">
        <v>3.4772574000000001E-2</v>
      </c>
      <c r="AG309" s="71">
        <v>0.114745139</v>
      </c>
      <c r="AH309" s="71">
        <v>0.114808271</v>
      </c>
      <c r="AI309" s="71">
        <v>0.118771798</v>
      </c>
      <c r="AJ309" s="71">
        <v>0.119802012</v>
      </c>
      <c r="AK309" s="71">
        <v>0.11649006100000001</v>
      </c>
      <c r="AL309" s="71">
        <v>0.11480291199999999</v>
      </c>
      <c r="AM309" s="71">
        <v>0.11219800200000001</v>
      </c>
      <c r="AN309" s="71">
        <v>7.4236247000000005E-2</v>
      </c>
      <c r="AO309" s="71">
        <v>-0.10152410000000001</v>
      </c>
      <c r="AP309" s="71">
        <v>0.54957869400000003</v>
      </c>
    </row>
    <row r="310" spans="1:42" x14ac:dyDescent="0.2">
      <c r="A310" t="s">
        <v>164</v>
      </c>
      <c r="B310" t="s">
        <v>102</v>
      </c>
      <c r="C310" t="s">
        <v>141</v>
      </c>
      <c r="D310" t="s">
        <v>140</v>
      </c>
      <c r="E310" s="71">
        <v>6.8197746000000004E-2</v>
      </c>
      <c r="F310" s="71">
        <v>6.7798514000000004E-2</v>
      </c>
      <c r="G310" s="71">
        <v>6.6924353000000006E-2</v>
      </c>
      <c r="H310" s="71">
        <v>6.5883179E-2</v>
      </c>
      <c r="I310" s="71">
        <v>6.5327306000000002E-2</v>
      </c>
      <c r="J310" s="71">
        <v>6.5031308999999995E-2</v>
      </c>
      <c r="K310" s="71">
        <v>6.4863700999999996E-2</v>
      </c>
      <c r="L310" s="71">
        <v>3.3220910999999999E-2</v>
      </c>
      <c r="M310" s="71">
        <v>3.3509197999999997E-2</v>
      </c>
      <c r="N310" s="71">
        <v>2.7673718999999999E-2</v>
      </c>
      <c r="O310" s="71">
        <v>2.2423681000000001E-2</v>
      </c>
      <c r="P310" s="71">
        <v>2.2956876000000001E-2</v>
      </c>
      <c r="Q310" s="71">
        <v>2.4238684999999999E-2</v>
      </c>
      <c r="R310" s="71">
        <v>2.5227889E-2</v>
      </c>
      <c r="S310" s="71">
        <v>0.104219009</v>
      </c>
      <c r="T310" s="71">
        <v>0.10286503900000001</v>
      </c>
      <c r="U310" s="71">
        <v>0.107516769</v>
      </c>
      <c r="V310" s="71">
        <v>0.110432239</v>
      </c>
      <c r="W310" s="71">
        <v>0.10968647500000001</v>
      </c>
      <c r="X310" s="71">
        <v>0.10835163</v>
      </c>
      <c r="Y310" s="71">
        <v>0.10599665799999999</v>
      </c>
      <c r="Z310" s="71">
        <v>4.3637944999999997E-2</v>
      </c>
      <c r="AA310" s="71">
        <v>3.9074097000000002E-2</v>
      </c>
      <c r="AB310" s="71">
        <v>3.1074125000000001E-2</v>
      </c>
      <c r="AC310" s="71">
        <v>2.6728760000000001E-2</v>
      </c>
      <c r="AD310" s="71">
        <v>2.5294588999999999E-2</v>
      </c>
      <c r="AE310" s="71">
        <v>2.5188532999999999E-2</v>
      </c>
      <c r="AF310" s="71">
        <v>2.8674502000000001E-2</v>
      </c>
      <c r="AG310" s="71">
        <v>9.3346977999999997E-2</v>
      </c>
      <c r="AH310" s="71">
        <v>9.7332472000000003E-2</v>
      </c>
      <c r="AI310" s="71">
        <v>0.104045729</v>
      </c>
      <c r="AJ310" s="71">
        <v>0.106560447</v>
      </c>
      <c r="AK310" s="71">
        <v>0.10695402499999999</v>
      </c>
      <c r="AL310" s="71">
        <v>0.10645335</v>
      </c>
      <c r="AM310" s="71">
        <v>0.102351108</v>
      </c>
      <c r="AN310" s="71">
        <v>7.9193301999999993E-2</v>
      </c>
      <c r="AO310" s="71">
        <v>-0.20849869300000001</v>
      </c>
      <c r="AP310" s="71">
        <v>0.37084714800000002</v>
      </c>
    </row>
    <row r="311" spans="1:42" x14ac:dyDescent="0.2">
      <c r="A311" t="s">
        <v>345</v>
      </c>
      <c r="B311" t="s">
        <v>102</v>
      </c>
      <c r="C311" t="s">
        <v>141</v>
      </c>
      <c r="D311" t="s">
        <v>140</v>
      </c>
      <c r="E311" s="71">
        <v>6.3076873000000006E-2</v>
      </c>
      <c r="F311" s="71">
        <v>6.4508337999999998E-2</v>
      </c>
      <c r="G311" s="71">
        <v>6.7886848E-2</v>
      </c>
      <c r="H311" s="71">
        <v>7.2647351999999998E-2</v>
      </c>
      <c r="I311" s="71">
        <v>7.5883527000000006E-2</v>
      </c>
      <c r="J311" s="71">
        <v>7.8073521000000007E-2</v>
      </c>
      <c r="K311" s="71">
        <v>7.9608936000000005E-2</v>
      </c>
      <c r="L311" s="71">
        <v>2.5344124999999999E-2</v>
      </c>
      <c r="M311" s="71">
        <v>2.7370546999999999E-2</v>
      </c>
      <c r="N311" s="71">
        <v>2.8096640999999999E-2</v>
      </c>
      <c r="O311" s="71">
        <v>2.9645312E-2</v>
      </c>
      <c r="P311" s="71">
        <v>3.2202020999999997E-2</v>
      </c>
      <c r="Q311" s="71">
        <v>3.4655924999999997E-2</v>
      </c>
      <c r="R311" s="71">
        <v>3.8142089999999997E-2</v>
      </c>
      <c r="S311" s="71">
        <v>0.102726708</v>
      </c>
      <c r="T311" s="71">
        <v>0.103230285</v>
      </c>
      <c r="U311" s="71">
        <v>0.109688943</v>
      </c>
      <c r="V311" s="71">
        <v>0.117550553</v>
      </c>
      <c r="W311" s="71">
        <v>0.12186414700000001</v>
      </c>
      <c r="X311" s="71">
        <v>0.123372205</v>
      </c>
      <c r="Y311" s="71">
        <v>0.122957433</v>
      </c>
      <c r="Z311" s="71">
        <v>3.6469360999999999E-2</v>
      </c>
      <c r="AA311" s="71">
        <v>3.7553331000000002E-2</v>
      </c>
      <c r="AB311" s="71">
        <v>3.3942939999999998E-2</v>
      </c>
      <c r="AC311" s="71">
        <v>3.3099618999999997E-2</v>
      </c>
      <c r="AD311" s="71">
        <v>3.4620206000000001E-2</v>
      </c>
      <c r="AE311" s="71">
        <v>3.8134802000000002E-2</v>
      </c>
      <c r="AF311" s="71">
        <v>3.9846033000000003E-2</v>
      </c>
      <c r="AG311" s="71">
        <v>9.0380968000000006E-2</v>
      </c>
      <c r="AH311" s="71">
        <v>9.2177352000000004E-2</v>
      </c>
      <c r="AI311" s="71">
        <v>0.10296714899999999</v>
      </c>
      <c r="AJ311" s="71">
        <v>0.113739015</v>
      </c>
      <c r="AK311" s="71">
        <v>0.118824818</v>
      </c>
      <c r="AL311" s="71">
        <v>0.119578922</v>
      </c>
      <c r="AM311" s="71">
        <v>0.120922271</v>
      </c>
      <c r="AN311" s="71">
        <v>8.5488241000000006E-2</v>
      </c>
      <c r="AO311" s="71">
        <v>-0.13806571400000001</v>
      </c>
      <c r="AP311" s="71">
        <v>0.41336066399999999</v>
      </c>
    </row>
    <row r="312" spans="1:42" x14ac:dyDescent="0.2">
      <c r="A312" t="s">
        <v>240</v>
      </c>
      <c r="B312" t="s">
        <v>102</v>
      </c>
      <c r="C312" t="s">
        <v>109</v>
      </c>
      <c r="D312" t="s">
        <v>108</v>
      </c>
      <c r="E312" s="71">
        <v>0.116983384</v>
      </c>
      <c r="F312" s="71">
        <v>0.115959615</v>
      </c>
      <c r="G312" s="71">
        <v>0.113499135</v>
      </c>
      <c r="H312" s="71">
        <v>0.11002358800000001</v>
      </c>
      <c r="I312" s="71">
        <v>0.107669205</v>
      </c>
      <c r="J312" s="71">
        <v>0.10608097900000001</v>
      </c>
      <c r="K312" s="71">
        <v>0.104970545</v>
      </c>
      <c r="L312" s="71">
        <v>1.789304E-3</v>
      </c>
      <c r="M312" s="71">
        <v>5.4230470000000003E-3</v>
      </c>
      <c r="N312" s="71">
        <v>-1.36052E-3</v>
      </c>
      <c r="O312" s="71">
        <v>-9.0757609999999999E-3</v>
      </c>
      <c r="P312" s="71">
        <v>-8.9319949999999999E-3</v>
      </c>
      <c r="Q312" s="71">
        <v>-4.9899310000000004E-3</v>
      </c>
      <c r="R312" s="71">
        <v>-3.5631970000000002E-3</v>
      </c>
      <c r="S312" s="71">
        <v>0.24461095999999999</v>
      </c>
      <c r="T312" s="71">
        <v>0.23820101599999999</v>
      </c>
      <c r="U312" s="71">
        <v>0.24396878299999999</v>
      </c>
      <c r="V312" s="71">
        <v>0.24396366899999999</v>
      </c>
      <c r="W312" s="71">
        <v>0.237669834</v>
      </c>
      <c r="X312" s="71">
        <v>0.23116615700000001</v>
      </c>
      <c r="Y312" s="71">
        <v>0.224883206</v>
      </c>
      <c r="Z312" s="71">
        <v>2.5265879000000002E-2</v>
      </c>
      <c r="AA312" s="71">
        <v>2.0997565999999999E-2</v>
      </c>
      <c r="AB312" s="71">
        <v>5.0444670000000004E-3</v>
      </c>
      <c r="AC312" s="71">
        <v>-4.3451699999999998E-3</v>
      </c>
      <c r="AD312" s="71">
        <v>-1.1581401999999999E-2</v>
      </c>
      <c r="AE312" s="71">
        <v>-7.1441430000000004E-3</v>
      </c>
      <c r="AF312" s="71">
        <v>-6.2360169999999999E-3</v>
      </c>
      <c r="AG312" s="71">
        <v>0.21727380800000001</v>
      </c>
      <c r="AH312" s="71">
        <v>0.22015162499999999</v>
      </c>
      <c r="AI312" s="71">
        <v>0.23419301000000001</v>
      </c>
      <c r="AJ312" s="71">
        <v>0.23813716800000001</v>
      </c>
      <c r="AK312" s="71">
        <v>0.24197721699999999</v>
      </c>
      <c r="AL312" s="71">
        <v>0.23281713700000001</v>
      </c>
      <c r="AM312" s="71">
        <v>0.22919804599999999</v>
      </c>
      <c r="AN312" s="71">
        <v>0.248624661</v>
      </c>
      <c r="AO312" s="71">
        <v>-0.229499592</v>
      </c>
      <c r="AP312" s="71">
        <v>0.60119760899999997</v>
      </c>
    </row>
    <row r="313" spans="1:42" x14ac:dyDescent="0.2">
      <c r="A313" t="s">
        <v>224</v>
      </c>
      <c r="B313" t="s">
        <v>102</v>
      </c>
      <c r="C313" t="s">
        <v>109</v>
      </c>
      <c r="D313" t="s">
        <v>108</v>
      </c>
      <c r="E313" s="71">
        <v>0.12134704</v>
      </c>
      <c r="F313" s="71">
        <v>0.120404214</v>
      </c>
      <c r="G313" s="71">
        <v>0.118020267</v>
      </c>
      <c r="H313" s="71">
        <v>0.114364833</v>
      </c>
      <c r="I313" s="71">
        <v>0.111644596</v>
      </c>
      <c r="J313" s="71">
        <v>0.109665364</v>
      </c>
      <c r="K313" s="71">
        <v>0.108200878</v>
      </c>
      <c r="L313" s="71">
        <v>7.4069440000000004E-3</v>
      </c>
      <c r="M313" s="71">
        <v>9.9713319999999994E-3</v>
      </c>
      <c r="N313" s="71">
        <v>2.8863389999999999E-3</v>
      </c>
      <c r="O313" s="71">
        <v>-6.5406680000000003E-3</v>
      </c>
      <c r="P313" s="71">
        <v>-4.8052700000000004E-3</v>
      </c>
      <c r="Q313" s="71">
        <v>-4.5850700000000001E-3</v>
      </c>
      <c r="R313" s="71">
        <v>-1.1302129999999999E-3</v>
      </c>
      <c r="S313" s="71">
        <v>0.24919778400000001</v>
      </c>
      <c r="T313" s="71">
        <v>0.244715343</v>
      </c>
      <c r="U313" s="71">
        <v>0.247894166</v>
      </c>
      <c r="V313" s="71">
        <v>0.24888127400000001</v>
      </c>
      <c r="W313" s="71">
        <v>0.24563711499999999</v>
      </c>
      <c r="X313" s="71">
        <v>0.23736210899999999</v>
      </c>
      <c r="Y313" s="71">
        <v>0.23092375200000001</v>
      </c>
      <c r="Z313" s="71">
        <v>3.2845988E-2</v>
      </c>
      <c r="AA313" s="71">
        <v>2.7583937999999999E-2</v>
      </c>
      <c r="AB313" s="71">
        <v>1.2896819E-2</v>
      </c>
      <c r="AC313" s="71">
        <v>5.1347019999999997E-3</v>
      </c>
      <c r="AD313" s="71">
        <v>-1.441634E-3</v>
      </c>
      <c r="AE313" s="71">
        <v>4.733732E-3</v>
      </c>
      <c r="AF313" s="71">
        <v>-1.6030580000000001E-3</v>
      </c>
      <c r="AG313" s="71">
        <v>0.21776880800000001</v>
      </c>
      <c r="AH313" s="71">
        <v>0.22198398799999999</v>
      </c>
      <c r="AI313" s="71">
        <v>0.234549534</v>
      </c>
      <c r="AJ313" s="71">
        <v>0.236008621</v>
      </c>
      <c r="AK313" s="71">
        <v>0.238128018</v>
      </c>
      <c r="AL313" s="71">
        <v>0.22605769000000001</v>
      </c>
      <c r="AM313" s="71">
        <v>0.23063776499999999</v>
      </c>
      <c r="AN313" s="71">
        <v>0.243493666</v>
      </c>
      <c r="AO313" s="71">
        <v>-0.13258735099999999</v>
      </c>
      <c r="AP313" s="71">
        <v>0.60585199199999995</v>
      </c>
    </row>
    <row r="314" spans="1:42" x14ac:dyDescent="0.2">
      <c r="A314" t="s">
        <v>200</v>
      </c>
      <c r="B314" t="s">
        <v>102</v>
      </c>
      <c r="C314" t="s">
        <v>109</v>
      </c>
      <c r="D314" t="s">
        <v>108</v>
      </c>
      <c r="E314" s="71">
        <v>9.6222012999999995E-2</v>
      </c>
      <c r="F314" s="71">
        <v>9.5924466999999999E-2</v>
      </c>
      <c r="G314" s="71">
        <v>9.5020860999999998E-2</v>
      </c>
      <c r="H314" s="71">
        <v>9.3484253000000003E-2</v>
      </c>
      <c r="I314" s="71">
        <v>9.2334001999999998E-2</v>
      </c>
      <c r="J314" s="71">
        <v>9.1527432000000006E-2</v>
      </c>
      <c r="K314" s="71">
        <v>9.0954392999999994E-2</v>
      </c>
      <c r="L314" s="71">
        <v>-2.4884676000000001E-2</v>
      </c>
      <c r="M314" s="71">
        <v>-1.8548652999999998E-2</v>
      </c>
      <c r="N314" s="71">
        <v>-2.2741573000000001E-2</v>
      </c>
      <c r="O314" s="71">
        <v>-2.6900957E-2</v>
      </c>
      <c r="P314" s="71">
        <v>-2.6289010000000002E-2</v>
      </c>
      <c r="Q314" s="71">
        <v>-2.3565216999999999E-2</v>
      </c>
      <c r="R314" s="71">
        <v>-1.6422794000000001E-2</v>
      </c>
      <c r="S314" s="71">
        <v>0.230589024</v>
      </c>
      <c r="T314" s="71">
        <v>0.22260786799999999</v>
      </c>
      <c r="U314" s="71">
        <v>0.22834958299999999</v>
      </c>
      <c r="V314" s="71">
        <v>0.22832353</v>
      </c>
      <c r="W314" s="71">
        <v>0.226212205</v>
      </c>
      <c r="X314" s="71">
        <v>0.21899133400000001</v>
      </c>
      <c r="Y314" s="71">
        <v>0.213162775</v>
      </c>
      <c r="Z314" s="71">
        <v>9.3637470000000004E-3</v>
      </c>
      <c r="AA314" s="71">
        <v>7.8892679999999996E-3</v>
      </c>
      <c r="AB314" s="71">
        <v>-5.8861139999999996E-3</v>
      </c>
      <c r="AC314" s="71">
        <v>-1.8051047000000001E-2</v>
      </c>
      <c r="AD314" s="71">
        <v>-1.8861195000000001E-2</v>
      </c>
      <c r="AE314" s="71">
        <v>-2.0592263999999999E-2</v>
      </c>
      <c r="AF314" s="71">
        <v>-1.8412937000000001E-2</v>
      </c>
      <c r="AG314" s="71">
        <v>0.190895332</v>
      </c>
      <c r="AH314" s="71">
        <v>0.191999999</v>
      </c>
      <c r="AI314" s="71">
        <v>0.20664464699999999</v>
      </c>
      <c r="AJ314" s="71">
        <v>0.21828280899999999</v>
      </c>
      <c r="AK314" s="71">
        <v>0.21672279699999999</v>
      </c>
      <c r="AL314" s="71">
        <v>0.217085954</v>
      </c>
      <c r="AM314" s="71">
        <v>0.21307937099999999</v>
      </c>
      <c r="AN314" s="71">
        <v>0.27797672600000001</v>
      </c>
      <c r="AO314" s="71">
        <v>-0.255405037</v>
      </c>
      <c r="AP314" s="71">
        <v>0.663457305</v>
      </c>
    </row>
    <row r="315" spans="1:42" x14ac:dyDescent="0.2">
      <c r="A315" t="s">
        <v>259</v>
      </c>
      <c r="B315" t="s">
        <v>102</v>
      </c>
      <c r="C315" t="s">
        <v>109</v>
      </c>
      <c r="D315" t="s">
        <v>108</v>
      </c>
      <c r="E315" s="71">
        <v>0.120526284</v>
      </c>
      <c r="F315" s="71">
        <v>0.119253367</v>
      </c>
      <c r="G315" s="71">
        <v>0.115961045</v>
      </c>
      <c r="H315" s="71">
        <v>0.11090728699999999</v>
      </c>
      <c r="I315" s="71">
        <v>0.107265443</v>
      </c>
      <c r="J315" s="71">
        <v>0.104731888</v>
      </c>
      <c r="K315" s="71">
        <v>0.102934212</v>
      </c>
      <c r="L315" s="71">
        <v>1.674879E-3</v>
      </c>
      <c r="M315" s="71">
        <v>7.5493870000000003E-3</v>
      </c>
      <c r="N315" s="71">
        <v>-3.7054399999999999E-4</v>
      </c>
      <c r="O315" s="71">
        <v>-6.2059999999999997E-3</v>
      </c>
      <c r="P315" s="71">
        <v>-8.3915659999999996E-3</v>
      </c>
      <c r="Q315" s="71">
        <v>-8.3286639999999995E-3</v>
      </c>
      <c r="R315" s="71">
        <v>-3.9939149999999998E-3</v>
      </c>
      <c r="S315" s="71">
        <v>0.25294207299999999</v>
      </c>
      <c r="T315" s="71">
        <v>0.244706759</v>
      </c>
      <c r="U315" s="71">
        <v>0.24492631300000001</v>
      </c>
      <c r="V315" s="71">
        <v>0.24464429500000001</v>
      </c>
      <c r="W315" s="71">
        <v>0.23796920599999999</v>
      </c>
      <c r="X315" s="71">
        <v>0.23085401999999999</v>
      </c>
      <c r="Y315" s="71">
        <v>0.22094976299999999</v>
      </c>
      <c r="Z315" s="71">
        <v>2.8244859000000001E-2</v>
      </c>
      <c r="AA315" s="71">
        <v>2.0915941E-2</v>
      </c>
      <c r="AB315" s="71">
        <v>8.1610069999999996E-3</v>
      </c>
      <c r="AC315" s="71">
        <v>7.1325399999999997E-4</v>
      </c>
      <c r="AD315" s="71">
        <v>-5.5024610000000002E-3</v>
      </c>
      <c r="AE315" s="71">
        <v>-4.0895530000000001E-3</v>
      </c>
      <c r="AF315" s="72" t="s">
        <v>443</v>
      </c>
      <c r="AG315" s="71">
        <v>0.22145983899999999</v>
      </c>
      <c r="AH315" s="71">
        <v>0.22748966300000001</v>
      </c>
      <c r="AI315" s="71">
        <v>0.235813684</v>
      </c>
      <c r="AJ315" s="71">
        <v>0.23379349899999999</v>
      </c>
      <c r="AK315" s="71">
        <v>0.23341225299999999</v>
      </c>
      <c r="AL315" s="71">
        <v>0.22599380999999999</v>
      </c>
      <c r="AM315" s="71">
        <v>0.216870068</v>
      </c>
      <c r="AN315" s="71">
        <v>0.25978289999999998</v>
      </c>
      <c r="AO315" s="71">
        <v>-0.20858558999999999</v>
      </c>
      <c r="AP315" s="71">
        <v>0.62369388800000003</v>
      </c>
    </row>
    <row r="316" spans="1:42" x14ac:dyDescent="0.2">
      <c r="A316" t="s">
        <v>288</v>
      </c>
      <c r="B316" t="s">
        <v>102</v>
      </c>
      <c r="C316" t="s">
        <v>109</v>
      </c>
      <c r="D316" t="s">
        <v>108</v>
      </c>
      <c r="E316" s="71">
        <v>0.12908777599999999</v>
      </c>
      <c r="F316" s="71">
        <v>0.128261179</v>
      </c>
      <c r="G316" s="71">
        <v>0.12626335</v>
      </c>
      <c r="H316" s="71">
        <v>0.123428911</v>
      </c>
      <c r="I316" s="71">
        <v>0.121504158</v>
      </c>
      <c r="J316" s="71">
        <v>0.120204777</v>
      </c>
      <c r="K316" s="71">
        <v>0.119295687</v>
      </c>
      <c r="L316" s="71">
        <v>1.8502879E-2</v>
      </c>
      <c r="M316" s="71">
        <v>2.0323244000000001E-2</v>
      </c>
      <c r="N316" s="71">
        <v>1.3057150999999999E-2</v>
      </c>
      <c r="O316" s="71">
        <v>6.1989580000000001E-3</v>
      </c>
      <c r="P316" s="71">
        <v>2.9866269999999999E-3</v>
      </c>
      <c r="Q316" s="71">
        <v>5.9110910000000003E-3</v>
      </c>
      <c r="R316" s="71">
        <v>9.5572030000000002E-3</v>
      </c>
      <c r="S316" s="71">
        <v>0.25178226100000001</v>
      </c>
      <c r="T316" s="71">
        <v>0.24956307799999999</v>
      </c>
      <c r="U316" s="71">
        <v>0.25474366599999998</v>
      </c>
      <c r="V316" s="71">
        <v>0.25668577799999998</v>
      </c>
      <c r="W316" s="71">
        <v>0.25285729899999998</v>
      </c>
      <c r="X316" s="71">
        <v>0.24767425300000001</v>
      </c>
      <c r="Y316" s="71">
        <v>0.24004830799999999</v>
      </c>
      <c r="Z316" s="71">
        <v>3.2402082999999998E-2</v>
      </c>
      <c r="AA316" s="71">
        <v>3.1503265000000003E-2</v>
      </c>
      <c r="AB316" s="71">
        <v>2.2795681000000002E-2</v>
      </c>
      <c r="AC316" s="71">
        <v>1.2505498E-2</v>
      </c>
      <c r="AD316" s="71">
        <v>9.9973159999999991E-3</v>
      </c>
      <c r="AE316" s="71">
        <v>9.7626729999999995E-3</v>
      </c>
      <c r="AF316" s="71">
        <v>1.2376496000000001E-2</v>
      </c>
      <c r="AG316" s="71">
        <v>0.23523145000000001</v>
      </c>
      <c r="AH316" s="71">
        <v>0.234499706</v>
      </c>
      <c r="AI316" s="71">
        <v>0.240668726</v>
      </c>
      <c r="AJ316" s="71">
        <v>0.24705650000000001</v>
      </c>
      <c r="AK316" s="71">
        <v>0.245882459</v>
      </c>
      <c r="AL316" s="71">
        <v>0.24327669299999999</v>
      </c>
      <c r="AM316" s="71">
        <v>0.23801988900000001</v>
      </c>
      <c r="AN316" s="71">
        <v>0.22259499899999999</v>
      </c>
      <c r="AO316" s="71">
        <v>-0.16532080699999999</v>
      </c>
      <c r="AP316" s="71">
        <v>0.57615386599999996</v>
      </c>
    </row>
    <row r="317" spans="1:42" x14ac:dyDescent="0.2">
      <c r="A317" t="s">
        <v>272</v>
      </c>
      <c r="B317" t="s">
        <v>102</v>
      </c>
      <c r="C317" t="s">
        <v>109</v>
      </c>
      <c r="D317" t="s">
        <v>108</v>
      </c>
      <c r="E317" s="71">
        <v>0.112258047</v>
      </c>
      <c r="F317" s="71">
        <v>0.112196058</v>
      </c>
      <c r="G317" s="71">
        <v>0.111925096</v>
      </c>
      <c r="H317" s="71">
        <v>0.111338943</v>
      </c>
      <c r="I317" s="71">
        <v>0.110836238</v>
      </c>
      <c r="J317" s="71">
        <v>0.110461086</v>
      </c>
      <c r="K317" s="71">
        <v>0.110186905</v>
      </c>
      <c r="L317" s="71">
        <v>1.462739E-3</v>
      </c>
      <c r="M317" s="71">
        <v>4.3837119999999997E-3</v>
      </c>
      <c r="N317" s="71">
        <v>-3.1335930000000001E-3</v>
      </c>
      <c r="O317" s="71">
        <v>-7.415105E-3</v>
      </c>
      <c r="P317" s="71">
        <v>-8.6713610000000007E-3</v>
      </c>
      <c r="Q317" s="71">
        <v>-5.0009319999999996E-3</v>
      </c>
      <c r="R317" s="71">
        <v>2.6795600000000002E-4</v>
      </c>
      <c r="S317" s="71">
        <v>0.23553464800000001</v>
      </c>
      <c r="T317" s="71">
        <v>0.23259453199999999</v>
      </c>
      <c r="U317" s="71">
        <v>0.23974530599999999</v>
      </c>
      <c r="V317" s="71">
        <v>0.24266391700000001</v>
      </c>
      <c r="W317" s="71">
        <v>0.242623635</v>
      </c>
      <c r="X317" s="71">
        <v>0.24065347300000001</v>
      </c>
      <c r="Y317" s="71">
        <v>0.23423319300000001</v>
      </c>
      <c r="Z317" s="71">
        <v>2.1392589E-2</v>
      </c>
      <c r="AA317" s="71">
        <v>1.9226710000000001E-2</v>
      </c>
      <c r="AB317" s="71">
        <v>6.2470149999999999E-3</v>
      </c>
      <c r="AC317" s="71">
        <v>-4.7892079999999997E-3</v>
      </c>
      <c r="AD317" s="71">
        <v>-2.1665590000000002E-3</v>
      </c>
      <c r="AE317" s="71">
        <v>5.2863980000000003E-3</v>
      </c>
      <c r="AF317" s="71">
        <v>6.862562E-3</v>
      </c>
      <c r="AG317" s="71">
        <v>0.21157083099999999</v>
      </c>
      <c r="AH317" s="71">
        <v>0.214028261</v>
      </c>
      <c r="AI317" s="71">
        <v>0.22920922099999999</v>
      </c>
      <c r="AJ317" s="71">
        <v>0.241644733</v>
      </c>
      <c r="AK317" s="71">
        <v>0.237226723</v>
      </c>
      <c r="AL317" s="71">
        <v>0.22714306300000001</v>
      </c>
      <c r="AM317" s="71">
        <v>0.22459892400000001</v>
      </c>
      <c r="AN317" s="71">
        <v>0.22879068899999999</v>
      </c>
      <c r="AO317" s="71">
        <v>-0.110446132</v>
      </c>
      <c r="AP317" s="71">
        <v>0.60283452299999996</v>
      </c>
    </row>
    <row r="318" spans="1:42" x14ac:dyDescent="0.2">
      <c r="A318" t="s">
        <v>178</v>
      </c>
      <c r="B318" t="s">
        <v>102</v>
      </c>
      <c r="C318" t="s">
        <v>109</v>
      </c>
      <c r="D318" t="s">
        <v>108</v>
      </c>
      <c r="E318" s="71">
        <v>0.118450493</v>
      </c>
      <c r="F318" s="71">
        <v>0.11858007299999999</v>
      </c>
      <c r="G318" s="71">
        <v>0.118565411</v>
      </c>
      <c r="H318" s="71">
        <v>0.11812326300000001</v>
      </c>
      <c r="I318" s="71">
        <v>0.117658466</v>
      </c>
      <c r="J318" s="71">
        <v>0.117301435</v>
      </c>
      <c r="K318" s="71">
        <v>0.117039412</v>
      </c>
      <c r="L318" s="71">
        <v>7.2919719999999999E-3</v>
      </c>
      <c r="M318" s="71">
        <v>1.0600803000000001E-2</v>
      </c>
      <c r="N318" s="71">
        <v>4.2497569999999998E-3</v>
      </c>
      <c r="O318" s="71">
        <v>-2.4563599999999999E-3</v>
      </c>
      <c r="P318" s="71">
        <v>-2.577658E-3</v>
      </c>
      <c r="Q318" s="71">
        <v>2.4876500000000002E-4</v>
      </c>
      <c r="R318" s="71">
        <v>3.4161780000000002E-3</v>
      </c>
      <c r="S318" s="71">
        <v>0.24398109000000001</v>
      </c>
      <c r="T318" s="71">
        <v>0.23905622900000001</v>
      </c>
      <c r="U318" s="71">
        <v>0.24737358700000001</v>
      </c>
      <c r="V318" s="71">
        <v>0.25437936900000002</v>
      </c>
      <c r="W318" s="71">
        <v>0.251989717</v>
      </c>
      <c r="X318" s="71">
        <v>0.24741531899999999</v>
      </c>
      <c r="Y318" s="71">
        <v>0.24295685</v>
      </c>
      <c r="Z318" s="71">
        <v>2.8336278999999999E-2</v>
      </c>
      <c r="AA318" s="71">
        <v>2.3745820000000001E-2</v>
      </c>
      <c r="AB318" s="71">
        <v>1.0154922E-2</v>
      </c>
      <c r="AC318" s="71">
        <v>-4.568117E-3</v>
      </c>
      <c r="AD318" s="71">
        <v>-4.634155E-3</v>
      </c>
      <c r="AE318" s="71">
        <v>2.3375660000000001E-3</v>
      </c>
      <c r="AF318" s="71">
        <v>9.9046700000000008E-3</v>
      </c>
      <c r="AG318" s="71">
        <v>0.216814373</v>
      </c>
      <c r="AH318" s="71">
        <v>0.22259363400000001</v>
      </c>
      <c r="AI318" s="71">
        <v>0.23914034000000001</v>
      </c>
      <c r="AJ318" s="71">
        <v>0.25663620100000001</v>
      </c>
      <c r="AK318" s="71">
        <v>0.25567121300000001</v>
      </c>
      <c r="AL318" s="71">
        <v>0.246056523</v>
      </c>
      <c r="AM318" s="71">
        <v>0.23605702000000001</v>
      </c>
      <c r="AN318" s="71">
        <v>0.23173859699999999</v>
      </c>
      <c r="AO318" s="71">
        <v>-0.19207889</v>
      </c>
      <c r="AP318" s="71">
        <v>0.62792326600000004</v>
      </c>
    </row>
    <row r="319" spans="1:42" x14ac:dyDescent="0.2">
      <c r="A319" t="s">
        <v>191</v>
      </c>
      <c r="B319" t="s">
        <v>102</v>
      </c>
      <c r="C319" t="s">
        <v>109</v>
      </c>
      <c r="D319" t="s">
        <v>108</v>
      </c>
      <c r="E319" s="71">
        <v>0.140111298</v>
      </c>
      <c r="F319" s="71">
        <v>0.139670342</v>
      </c>
      <c r="G319" s="71">
        <v>0.13888523</v>
      </c>
      <c r="H319" s="71">
        <v>0.13823601599999999</v>
      </c>
      <c r="I319" s="71">
        <v>0.13803800999999999</v>
      </c>
      <c r="J319" s="71">
        <v>0.13798734600000001</v>
      </c>
      <c r="K319" s="71">
        <v>0.13797959700000001</v>
      </c>
      <c r="L319" s="71">
        <v>2.5523348000000001E-2</v>
      </c>
      <c r="M319" s="71">
        <v>2.6908376000000001E-2</v>
      </c>
      <c r="N319" s="71">
        <v>2.2287833999999999E-2</v>
      </c>
      <c r="O319" s="71">
        <v>1.5485047E-2</v>
      </c>
      <c r="P319" s="71">
        <v>1.5909214000000001E-2</v>
      </c>
      <c r="Q319" s="71">
        <v>1.9897607000000001E-2</v>
      </c>
      <c r="R319" s="71">
        <v>2.4538792E-2</v>
      </c>
      <c r="S319" s="71">
        <v>0.26998301200000002</v>
      </c>
      <c r="T319" s="71">
        <v>0.26362234000000001</v>
      </c>
      <c r="U319" s="71">
        <v>0.26826718700000002</v>
      </c>
      <c r="V319" s="71">
        <v>0.27682601699999998</v>
      </c>
      <c r="W319" s="71">
        <v>0.276496356</v>
      </c>
      <c r="X319" s="71">
        <v>0.26954386400000002</v>
      </c>
      <c r="Y319" s="71">
        <v>0.26314379599999999</v>
      </c>
      <c r="Z319" s="71">
        <v>4.7394718000000002E-2</v>
      </c>
      <c r="AA319" s="71">
        <v>4.4670504999999999E-2</v>
      </c>
      <c r="AB319" s="71">
        <v>2.4505974999999999E-2</v>
      </c>
      <c r="AC319" s="71">
        <v>2.4489224E-2</v>
      </c>
      <c r="AD319" s="71">
        <v>2.8120457000000001E-2</v>
      </c>
      <c r="AE319" s="71">
        <v>3.0269324E-2</v>
      </c>
      <c r="AF319" s="71">
        <v>2.9154547999999999E-2</v>
      </c>
      <c r="AG319" s="71">
        <v>0.24139506699999999</v>
      </c>
      <c r="AH319" s="71">
        <v>0.24368891500000001</v>
      </c>
      <c r="AI319" s="71">
        <v>0.26660703699999999</v>
      </c>
      <c r="AJ319" s="71">
        <v>0.26517885400000002</v>
      </c>
      <c r="AK319" s="71">
        <v>0.260232354</v>
      </c>
      <c r="AL319" s="71">
        <v>0.25747016</v>
      </c>
      <c r="AM319" s="71">
        <v>0.25882611300000002</v>
      </c>
      <c r="AN319" s="71">
        <v>0.229956507</v>
      </c>
      <c r="AO319" s="71">
        <v>-9.0749107999999995E-2</v>
      </c>
      <c r="AP319" s="71">
        <v>0.61159114400000003</v>
      </c>
    </row>
    <row r="320" spans="1:42" x14ac:dyDescent="0.2">
      <c r="A320" t="s">
        <v>254</v>
      </c>
      <c r="B320" t="s">
        <v>102</v>
      </c>
      <c r="C320" t="s">
        <v>109</v>
      </c>
      <c r="D320" t="s">
        <v>108</v>
      </c>
      <c r="E320" s="71">
        <v>0.116364211</v>
      </c>
      <c r="F320" s="71">
        <v>0.117042512</v>
      </c>
      <c r="G320" s="71">
        <v>0.118362516</v>
      </c>
      <c r="H320" s="71">
        <v>0.119665355</v>
      </c>
      <c r="I320" s="71">
        <v>0.12022313499999999</v>
      </c>
      <c r="J320" s="71">
        <v>0.120475859</v>
      </c>
      <c r="K320" s="71">
        <v>0.120607823</v>
      </c>
      <c r="L320" s="71">
        <v>5.0783899999999995E-4</v>
      </c>
      <c r="M320" s="71">
        <v>4.8990120000000003E-3</v>
      </c>
      <c r="N320" s="71">
        <v>2.4665889999999999E-3</v>
      </c>
      <c r="O320" s="71">
        <v>-3.0324039999999998E-3</v>
      </c>
      <c r="P320" s="71">
        <v>-9.4546500000000004E-4</v>
      </c>
      <c r="Q320" s="71">
        <v>2.608605E-3</v>
      </c>
      <c r="R320" s="71">
        <v>8.8415809999999994E-3</v>
      </c>
      <c r="S320" s="71">
        <v>0.24556850199999999</v>
      </c>
      <c r="T320" s="71">
        <v>0.241540273</v>
      </c>
      <c r="U320" s="71">
        <v>0.24808007700000001</v>
      </c>
      <c r="V320" s="71">
        <v>0.25620145700000002</v>
      </c>
      <c r="W320" s="71">
        <v>0.25630814699999999</v>
      </c>
      <c r="X320" s="71">
        <v>0.2522491</v>
      </c>
      <c r="Y320" s="71">
        <v>0.246063433</v>
      </c>
      <c r="Z320" s="71">
        <v>2.7406443999999999E-2</v>
      </c>
      <c r="AA320" s="71">
        <v>2.3891123E-2</v>
      </c>
      <c r="AB320" s="71">
        <v>1.4298273E-2</v>
      </c>
      <c r="AC320" s="71">
        <v>6.7641020000000001E-3</v>
      </c>
      <c r="AD320" s="71">
        <v>8.0359049999999994E-3</v>
      </c>
      <c r="AE320" s="71">
        <v>8.5567590000000006E-3</v>
      </c>
      <c r="AF320" s="71">
        <v>1.6895401000000001E-2</v>
      </c>
      <c r="AG320" s="71">
        <v>0.21336906999999999</v>
      </c>
      <c r="AH320" s="71">
        <v>0.219049198</v>
      </c>
      <c r="AI320" s="71">
        <v>0.23358768199999999</v>
      </c>
      <c r="AJ320" s="71">
        <v>0.24580634100000001</v>
      </c>
      <c r="AK320" s="71">
        <v>0.24546580400000001</v>
      </c>
      <c r="AL320" s="71">
        <v>0.24538100900000001</v>
      </c>
      <c r="AM320" s="71">
        <v>0.23537639699999999</v>
      </c>
      <c r="AN320" s="71">
        <v>0.25511686</v>
      </c>
      <c r="AO320" s="71">
        <v>-0.16167531399999999</v>
      </c>
      <c r="AP320" s="71">
        <v>0.69998954700000005</v>
      </c>
    </row>
    <row r="321" spans="1:42" x14ac:dyDescent="0.2">
      <c r="A321" t="s">
        <v>103</v>
      </c>
      <c r="B321" t="s">
        <v>102</v>
      </c>
      <c r="C321" t="s">
        <v>109</v>
      </c>
      <c r="D321" t="s">
        <v>108</v>
      </c>
      <c r="E321" s="71">
        <v>0.151340693</v>
      </c>
      <c r="F321" s="71">
        <v>0.15057262799999999</v>
      </c>
      <c r="G321" s="71">
        <v>0.14890334</v>
      </c>
      <c r="H321" s="71">
        <v>0.146856874</v>
      </c>
      <c r="I321" s="71">
        <v>0.145644516</v>
      </c>
      <c r="J321" s="71">
        <v>0.144890994</v>
      </c>
      <c r="K321" s="71">
        <v>0.1443865</v>
      </c>
      <c r="L321" s="71">
        <v>3.3001836999999999E-2</v>
      </c>
      <c r="M321" s="71">
        <v>3.7970232E-2</v>
      </c>
      <c r="N321" s="71">
        <v>3.0393051000000001E-2</v>
      </c>
      <c r="O321" s="71">
        <v>2.2956252E-2</v>
      </c>
      <c r="P321" s="71">
        <v>2.2422687E-2</v>
      </c>
      <c r="Q321" s="71">
        <v>2.7605850000000001E-2</v>
      </c>
      <c r="R321" s="71">
        <v>3.2294479000000001E-2</v>
      </c>
      <c r="S321" s="71">
        <v>0.28347792199999999</v>
      </c>
      <c r="T321" s="71">
        <v>0.27650965700000002</v>
      </c>
      <c r="U321" s="71">
        <v>0.28059745899999999</v>
      </c>
      <c r="V321" s="71">
        <v>0.286124292</v>
      </c>
      <c r="W321" s="71">
        <v>0.28334999</v>
      </c>
      <c r="X321" s="71">
        <v>0.27520898700000002</v>
      </c>
      <c r="Y321" s="71">
        <v>0.26972499999999999</v>
      </c>
      <c r="Z321" s="71">
        <v>5.6276821999999997E-2</v>
      </c>
      <c r="AA321" s="71">
        <v>5.1254929999999997E-2</v>
      </c>
      <c r="AB321" s="71">
        <v>3.6757879E-2</v>
      </c>
      <c r="AC321" s="71">
        <v>2.9244244999999999E-2</v>
      </c>
      <c r="AD321" s="71">
        <v>2.6325536E-2</v>
      </c>
      <c r="AE321" s="71">
        <v>2.8910127000000001E-2</v>
      </c>
      <c r="AF321" s="71">
        <v>3.2945242E-2</v>
      </c>
      <c r="AG321" s="71">
        <v>0.25533201900000002</v>
      </c>
      <c r="AH321" s="71">
        <v>0.25968324799999998</v>
      </c>
      <c r="AI321" s="71">
        <v>0.27371717000000001</v>
      </c>
      <c r="AJ321" s="71">
        <v>0.278509063</v>
      </c>
      <c r="AK321" s="71">
        <v>0.27945667299999999</v>
      </c>
      <c r="AL321" s="71">
        <v>0.27452951799999997</v>
      </c>
      <c r="AM321" s="71">
        <v>0.26838590299999998</v>
      </c>
      <c r="AN321" s="71">
        <v>0.24753936900000001</v>
      </c>
      <c r="AO321" s="71">
        <v>-0.121507817</v>
      </c>
      <c r="AP321" s="71">
        <v>0.67886631799999997</v>
      </c>
    </row>
    <row r="322" spans="1:42" x14ac:dyDescent="0.2">
      <c r="A322" t="s">
        <v>214</v>
      </c>
      <c r="B322" t="s">
        <v>102</v>
      </c>
      <c r="C322" t="s">
        <v>109</v>
      </c>
      <c r="D322" t="s">
        <v>108</v>
      </c>
      <c r="E322" s="71">
        <v>0.132347673</v>
      </c>
      <c r="F322" s="71">
        <v>0.13095519</v>
      </c>
      <c r="G322" s="71">
        <v>0.12765046999999999</v>
      </c>
      <c r="H322" s="71">
        <v>0.12307533599999999</v>
      </c>
      <c r="I322" s="71">
        <v>0.120046705</v>
      </c>
      <c r="J322" s="71">
        <v>0.11804089</v>
      </c>
      <c r="K322" s="71">
        <v>0.116656631</v>
      </c>
      <c r="L322" s="71">
        <v>1.3229696000000001E-2</v>
      </c>
      <c r="M322" s="71">
        <v>1.9606522000000001E-2</v>
      </c>
      <c r="N322" s="71">
        <v>1.1168989000000001E-2</v>
      </c>
      <c r="O322" s="71">
        <v>3.5272630000000001E-3</v>
      </c>
      <c r="P322" s="71">
        <v>2.569623E-3</v>
      </c>
      <c r="Q322" s="71">
        <v>3.4732629999999999E-3</v>
      </c>
      <c r="R322" s="71">
        <v>6.3615570000000003E-3</v>
      </c>
      <c r="S322" s="71">
        <v>0.26300519700000002</v>
      </c>
      <c r="T322" s="71">
        <v>0.25602985499999997</v>
      </c>
      <c r="U322" s="71">
        <v>0.257021424</v>
      </c>
      <c r="V322" s="71">
        <v>0.25755489300000001</v>
      </c>
      <c r="W322" s="71">
        <v>0.25211034799999998</v>
      </c>
      <c r="X322" s="71">
        <v>0.24730186700000001</v>
      </c>
      <c r="Y322" s="71">
        <v>0.240696305</v>
      </c>
      <c r="Z322" s="71">
        <v>4.3175983000000001E-2</v>
      </c>
      <c r="AA322" s="71">
        <v>3.8378172000000002E-2</v>
      </c>
      <c r="AB322" s="71">
        <v>2.743717E-2</v>
      </c>
      <c r="AC322" s="71">
        <v>1.0113558E-2</v>
      </c>
      <c r="AD322" s="71">
        <v>4.1539769999999997E-3</v>
      </c>
      <c r="AE322" s="71">
        <v>6.483585E-3</v>
      </c>
      <c r="AF322" s="71">
        <v>6.2393550000000002E-3</v>
      </c>
      <c r="AG322" s="71">
        <v>0.229477494</v>
      </c>
      <c r="AH322" s="71">
        <v>0.232151159</v>
      </c>
      <c r="AI322" s="71">
        <v>0.23807552200000001</v>
      </c>
      <c r="AJ322" s="71">
        <v>0.24924501099999999</v>
      </c>
      <c r="AK322" s="71">
        <v>0.24992779900000001</v>
      </c>
      <c r="AL322" s="71">
        <v>0.24252843800000001</v>
      </c>
      <c r="AM322" s="71">
        <v>0.23974447900000001</v>
      </c>
      <c r="AN322" s="71">
        <v>0.25447961200000002</v>
      </c>
      <c r="AO322" s="71">
        <v>-0.11592915299999999</v>
      </c>
      <c r="AP322" s="71">
        <v>0.69814704999999999</v>
      </c>
    </row>
    <row r="323" spans="1:42" x14ac:dyDescent="0.2">
      <c r="A323" t="s">
        <v>164</v>
      </c>
      <c r="B323" t="s">
        <v>102</v>
      </c>
      <c r="C323" t="s">
        <v>109</v>
      </c>
      <c r="D323" t="s">
        <v>108</v>
      </c>
      <c r="E323" s="71">
        <v>0.110666722</v>
      </c>
      <c r="F323" s="71">
        <v>0.110372752</v>
      </c>
      <c r="G323" s="71">
        <v>0.109753698</v>
      </c>
      <c r="H323" s="71">
        <v>0.10907670899999999</v>
      </c>
      <c r="I323" s="71">
        <v>0.10877057900000001</v>
      </c>
      <c r="J323" s="71">
        <v>0.108644933</v>
      </c>
      <c r="K323" s="71">
        <v>0.10859713</v>
      </c>
      <c r="L323" s="71">
        <v>-7.0300099999999997E-4</v>
      </c>
      <c r="M323" s="71">
        <v>2.3533989999999999E-3</v>
      </c>
      <c r="N323" s="71">
        <v>-4.8408549999999998E-3</v>
      </c>
      <c r="O323" s="71">
        <v>-8.3379100000000005E-3</v>
      </c>
      <c r="P323" s="71">
        <v>-7.403733E-3</v>
      </c>
      <c r="Q323" s="71">
        <v>-3.306238E-3</v>
      </c>
      <c r="R323" s="71">
        <v>1.1377270000000001E-3</v>
      </c>
      <c r="S323" s="71">
        <v>0.235815631</v>
      </c>
      <c r="T323" s="71">
        <v>0.23167089399999999</v>
      </c>
      <c r="U323" s="71">
        <v>0.239980255</v>
      </c>
      <c r="V323" s="71">
        <v>0.24336212900000001</v>
      </c>
      <c r="W323" s="71">
        <v>0.23858755000000001</v>
      </c>
      <c r="X323" s="71">
        <v>0.23544684699999999</v>
      </c>
      <c r="Y323" s="71">
        <v>0.228953247</v>
      </c>
      <c r="Z323" s="71">
        <v>1.8578145000000001E-2</v>
      </c>
      <c r="AA323" s="71">
        <v>1.6905771E-2</v>
      </c>
      <c r="AB323" s="71">
        <v>2.818437E-3</v>
      </c>
      <c r="AC323" s="71">
        <v>-4.5958470000000001E-3</v>
      </c>
      <c r="AD323" s="71">
        <v>-9.3384320000000007E-3</v>
      </c>
      <c r="AE323" s="71">
        <v>-4.2395769999999996E-3</v>
      </c>
      <c r="AF323" s="71">
        <v>-1.060524E-3</v>
      </c>
      <c r="AG323" s="71">
        <v>0.21145677500000001</v>
      </c>
      <c r="AH323" s="71">
        <v>0.212819123</v>
      </c>
      <c r="AI323" s="71">
        <v>0.22861520299999999</v>
      </c>
      <c r="AJ323" s="71">
        <v>0.23633074100000001</v>
      </c>
      <c r="AK323" s="71">
        <v>0.24161537199999999</v>
      </c>
      <c r="AL323" s="71">
        <v>0.23491816400000001</v>
      </c>
      <c r="AM323" s="71">
        <v>0.23084687200000001</v>
      </c>
      <c r="AN323" s="71">
        <v>0.24178442999999999</v>
      </c>
      <c r="AO323" s="71">
        <v>-0.15913571300000001</v>
      </c>
      <c r="AP323" s="71">
        <v>0.65738433500000004</v>
      </c>
    </row>
    <row r="324" spans="1:42" x14ac:dyDescent="0.2">
      <c r="A324" t="s">
        <v>345</v>
      </c>
      <c r="B324" t="s">
        <v>102</v>
      </c>
      <c r="C324" t="s">
        <v>109</v>
      </c>
      <c r="D324" t="s">
        <v>108</v>
      </c>
      <c r="E324" s="71">
        <v>0.10545560700000001</v>
      </c>
      <c r="F324" s="71">
        <v>0.107024402</v>
      </c>
      <c r="G324" s="71">
        <v>0.110733599</v>
      </c>
      <c r="H324" s="71">
        <v>0.115965098</v>
      </c>
      <c r="I324" s="71">
        <v>0.11952325699999999</v>
      </c>
      <c r="J324" s="71">
        <v>0.12193188100000001</v>
      </c>
      <c r="K324" s="71">
        <v>0.123620957</v>
      </c>
      <c r="L324" s="71">
        <v>-6.6926290000000003E-3</v>
      </c>
      <c r="M324" s="71">
        <v>-2.0205140000000002E-3</v>
      </c>
      <c r="N324" s="71">
        <v>-5.6567399999999995E-4</v>
      </c>
      <c r="O324" s="71">
        <v>-1.5343889999999999E-3</v>
      </c>
      <c r="P324" s="71">
        <v>1.447835E-3</v>
      </c>
      <c r="Q324" s="71">
        <v>6.1005909999999998E-3</v>
      </c>
      <c r="R324" s="71">
        <v>1.3329165E-2</v>
      </c>
      <c r="S324" s="71">
        <v>0.22886362199999999</v>
      </c>
      <c r="T324" s="71">
        <v>0.22856984799999999</v>
      </c>
      <c r="U324" s="71">
        <v>0.238087828</v>
      </c>
      <c r="V324" s="71">
        <v>0.248017403</v>
      </c>
      <c r="W324" s="71">
        <v>0.25444307399999999</v>
      </c>
      <c r="X324" s="71">
        <v>0.25179211499999998</v>
      </c>
      <c r="Y324" s="71">
        <v>0.246608511</v>
      </c>
      <c r="Z324" s="71">
        <v>1.7149225000000001E-2</v>
      </c>
      <c r="AA324" s="71">
        <v>1.4611635E-2</v>
      </c>
      <c r="AB324" s="71">
        <v>3.1330080000000001E-3</v>
      </c>
      <c r="AC324" s="71">
        <v>-2.5652610000000001E-3</v>
      </c>
      <c r="AD324" s="71">
        <v>1.127781E-3</v>
      </c>
      <c r="AE324" s="71">
        <v>8.5011229999999993E-3</v>
      </c>
      <c r="AF324" s="71">
        <v>1.4484690999999999E-2</v>
      </c>
      <c r="AG324" s="71">
        <v>0.201775174</v>
      </c>
      <c r="AH324" s="71">
        <v>0.20823575</v>
      </c>
      <c r="AI324" s="71">
        <v>0.23040529200000001</v>
      </c>
      <c r="AJ324" s="71">
        <v>0.24923109399999999</v>
      </c>
      <c r="AK324" s="71">
        <v>0.25256400200000001</v>
      </c>
      <c r="AL324" s="71">
        <v>0.248702804</v>
      </c>
      <c r="AM324" s="71">
        <v>0.24503017799999999</v>
      </c>
      <c r="AN324" s="71">
        <v>0.238566478</v>
      </c>
      <c r="AO324" s="71">
        <v>-0.141544751</v>
      </c>
      <c r="AP324" s="71">
        <v>0.64654368699999998</v>
      </c>
    </row>
    <row r="325" spans="1:42" x14ac:dyDescent="0.2">
      <c r="A325" t="s">
        <v>138</v>
      </c>
      <c r="B325" t="s">
        <v>102</v>
      </c>
      <c r="C325" t="s">
        <v>368</v>
      </c>
      <c r="D325" t="s">
        <v>142</v>
      </c>
      <c r="E325" s="71">
        <v>0.132000059</v>
      </c>
      <c r="F325" s="71">
        <v>0.13101479399999999</v>
      </c>
      <c r="G325" s="75">
        <v>0.12858971999999999</v>
      </c>
      <c r="H325" s="71">
        <v>0.125024408</v>
      </c>
      <c r="I325" s="71">
        <v>0.122490853</v>
      </c>
      <c r="J325" s="71">
        <v>0.120712132</v>
      </c>
      <c r="K325" s="71">
        <v>0.11942944</v>
      </c>
      <c r="L325" s="71">
        <v>-1.1525298E-2</v>
      </c>
      <c r="M325" s="71">
        <v>-5.5290859999999999E-3</v>
      </c>
      <c r="N325" s="71">
        <v>-9.2073550000000004E-3</v>
      </c>
      <c r="O325" s="71">
        <v>-9.6924679999999992E-3</v>
      </c>
      <c r="P325" s="71">
        <v>-7.6995479999999996E-3</v>
      </c>
      <c r="Q325" s="71">
        <v>-4.2233610000000001E-3</v>
      </c>
      <c r="R325" s="71">
        <v>-4.9701300000000003E-4</v>
      </c>
      <c r="S325" s="71">
        <v>0.297062353</v>
      </c>
      <c r="T325" s="71">
        <v>0.28439225800000001</v>
      </c>
      <c r="U325" s="71">
        <v>0.28527868699999998</v>
      </c>
      <c r="V325" s="71">
        <v>0.27901231599999998</v>
      </c>
      <c r="W325" s="71">
        <v>0.27073565199999999</v>
      </c>
      <c r="X325" s="71">
        <v>0.26164430700000002</v>
      </c>
      <c r="Y325" s="71">
        <v>0.25416213100000001</v>
      </c>
      <c r="Z325" s="71">
        <v>3.3032858999999998E-2</v>
      </c>
      <c r="AA325" s="71">
        <v>2.9565253999999999E-2</v>
      </c>
      <c r="AB325" s="71">
        <v>1.4346569999999999E-2</v>
      </c>
      <c r="AC325" s="71">
        <v>6.5548689999999996E-3</v>
      </c>
      <c r="AD325" s="71">
        <v>2.3128620000000002E-3</v>
      </c>
      <c r="AE325" s="71">
        <v>3.909432E-3</v>
      </c>
      <c r="AF325" s="71">
        <v>5.8487649999999997E-3</v>
      </c>
      <c r="AG325" s="71">
        <v>0.240870151</v>
      </c>
      <c r="AH325" s="71">
        <v>0.242906979</v>
      </c>
      <c r="AI325" s="71">
        <v>0.25628319500000002</v>
      </c>
      <c r="AJ325" s="71">
        <v>0.25807488299999998</v>
      </c>
      <c r="AK325" s="71">
        <v>0.25773979400000002</v>
      </c>
      <c r="AL325" s="71">
        <v>0.25172768699999998</v>
      </c>
      <c r="AM325" s="71">
        <v>0.24642254999999999</v>
      </c>
      <c r="AN325" s="71">
        <v>0.319711574</v>
      </c>
      <c r="AO325" s="71">
        <v>-2.3258154999999999E-2</v>
      </c>
      <c r="AP325" s="71">
        <v>0.75360974300000005</v>
      </c>
    </row>
    <row r="326" spans="1:42" x14ac:dyDescent="0.2">
      <c r="A326" t="s">
        <v>138</v>
      </c>
      <c r="B326" t="s">
        <v>102</v>
      </c>
      <c r="C326" t="s">
        <v>106</v>
      </c>
      <c r="D326" t="s">
        <v>105</v>
      </c>
      <c r="E326" s="71">
        <v>0.113869401</v>
      </c>
      <c r="F326" s="71">
        <v>0.11334583400000001</v>
      </c>
      <c r="G326" s="75">
        <v>0.112029406</v>
      </c>
      <c r="H326" s="71">
        <v>0.110027524</v>
      </c>
      <c r="I326" s="71">
        <v>0.108551356</v>
      </c>
      <c r="J326" s="71">
        <v>0.107484909</v>
      </c>
      <c r="K326" s="71">
        <v>0.10669967800000001</v>
      </c>
      <c r="L326" s="71">
        <v>2.4097905999999999E-2</v>
      </c>
      <c r="M326" s="71">
        <v>2.9353901000000002E-2</v>
      </c>
      <c r="N326" s="71">
        <v>2.6328776000000002E-2</v>
      </c>
      <c r="O326" s="71">
        <v>2.3931932999999999E-2</v>
      </c>
      <c r="P326" s="71">
        <v>2.3114152999999998E-2</v>
      </c>
      <c r="Q326" s="71">
        <v>2.5669469E-2</v>
      </c>
      <c r="R326" s="71">
        <v>2.8019149E-2</v>
      </c>
      <c r="S326" s="71">
        <v>0.21069015299999999</v>
      </c>
      <c r="T326" s="71">
        <v>0.203955155</v>
      </c>
      <c r="U326" s="71">
        <v>0.20567880199999999</v>
      </c>
      <c r="V326" s="71">
        <v>0.20522353600000001</v>
      </c>
      <c r="W326" s="71">
        <v>0.200885862</v>
      </c>
      <c r="X326" s="71">
        <v>0.19563861099999999</v>
      </c>
      <c r="Y326" s="71">
        <v>0.18954418000000001</v>
      </c>
      <c r="Z326" s="71">
        <v>5.0263479E-2</v>
      </c>
      <c r="AA326" s="71">
        <v>4.5650641999999998E-2</v>
      </c>
      <c r="AB326" s="71">
        <v>3.5581481999999998E-2</v>
      </c>
      <c r="AC326" s="71">
        <v>2.8355452999999999E-2</v>
      </c>
      <c r="AD326" s="71">
        <v>2.7496344999999998E-2</v>
      </c>
      <c r="AE326" s="71">
        <v>2.9935555999999999E-2</v>
      </c>
      <c r="AF326" s="71">
        <v>3.6123348E-2</v>
      </c>
      <c r="AG326" s="71">
        <v>0.18143662099999999</v>
      </c>
      <c r="AH326" s="71">
        <v>0.185548304</v>
      </c>
      <c r="AI326" s="71">
        <v>0.19428266199999999</v>
      </c>
      <c r="AJ326" s="71">
        <v>0.198373622</v>
      </c>
      <c r="AK326" s="71">
        <v>0.19618569399999999</v>
      </c>
      <c r="AL326" s="71">
        <v>0.19104201000000001</v>
      </c>
      <c r="AM326" s="71">
        <v>0.18222134800000001</v>
      </c>
      <c r="AN326" s="71">
        <v>0.19757930700000001</v>
      </c>
      <c r="AO326" s="71">
        <v>-1.2322048E-2</v>
      </c>
      <c r="AP326" s="71">
        <v>0.74533424000000004</v>
      </c>
    </row>
    <row r="327" spans="1:42" x14ac:dyDescent="0.2">
      <c r="A327" t="s">
        <v>240</v>
      </c>
      <c r="B327" t="s">
        <v>102</v>
      </c>
      <c r="C327" t="s">
        <v>106</v>
      </c>
      <c r="D327" t="s">
        <v>105</v>
      </c>
      <c r="E327" s="71">
        <v>9.8894925999999994E-2</v>
      </c>
      <c r="F327" s="71">
        <v>9.8488423000000005E-2</v>
      </c>
      <c r="G327" s="71">
        <v>9.7510906999999994E-2</v>
      </c>
      <c r="H327" s="71">
        <v>9.6127602000000006E-2</v>
      </c>
      <c r="I327" s="71">
        <v>9.5188947999999995E-2</v>
      </c>
      <c r="J327" s="71">
        <v>9.4555111999999997E-2</v>
      </c>
      <c r="K327" s="71">
        <v>9.4111534999999996E-2</v>
      </c>
      <c r="L327" s="71">
        <v>1.3621186E-2</v>
      </c>
      <c r="M327" s="71">
        <v>1.8030544999999999E-2</v>
      </c>
      <c r="N327" s="71">
        <v>1.4407572E-2</v>
      </c>
      <c r="O327" s="71">
        <v>1.2207882999999999E-2</v>
      </c>
      <c r="P327" s="71">
        <v>1.3369078E-2</v>
      </c>
      <c r="Q327" s="71">
        <v>1.573012E-2</v>
      </c>
      <c r="R327" s="71">
        <v>1.9088430999999999E-2</v>
      </c>
      <c r="S327" s="71">
        <v>0.19006647500000001</v>
      </c>
      <c r="T327" s="71">
        <v>0.18604512000000001</v>
      </c>
      <c r="U327" s="71">
        <v>0.18749842799999999</v>
      </c>
      <c r="V327" s="71">
        <v>0.18620248</v>
      </c>
      <c r="W327" s="71">
        <v>0.18318098099999999</v>
      </c>
      <c r="X327" s="71">
        <v>0.179234161</v>
      </c>
      <c r="Y327" s="71">
        <v>0.17495397800000001</v>
      </c>
      <c r="Z327" s="71">
        <v>3.7613892000000003E-2</v>
      </c>
      <c r="AA327" s="71">
        <v>3.3758203000000001E-2</v>
      </c>
      <c r="AB327" s="71">
        <v>2.4254906E-2</v>
      </c>
      <c r="AC327" s="71">
        <v>1.5271516000000001E-2</v>
      </c>
      <c r="AD327" s="71">
        <v>1.8857663E-2</v>
      </c>
      <c r="AE327" s="71">
        <v>2.0422125999999999E-2</v>
      </c>
      <c r="AF327" s="71">
        <v>2.1000652000000002E-2</v>
      </c>
      <c r="AG327" s="71">
        <v>0.163898722</v>
      </c>
      <c r="AH327" s="71">
        <v>0.16738839899999999</v>
      </c>
      <c r="AI327" s="71">
        <v>0.17615832100000001</v>
      </c>
      <c r="AJ327" s="71">
        <v>0.183611884</v>
      </c>
      <c r="AK327" s="71">
        <v>0.17740594600000001</v>
      </c>
      <c r="AL327" s="71">
        <v>0.174230898</v>
      </c>
      <c r="AM327" s="71">
        <v>0.17261020299999999</v>
      </c>
      <c r="AN327" s="71">
        <v>0.176726934</v>
      </c>
      <c r="AO327" s="71">
        <v>-0.20132239699999999</v>
      </c>
      <c r="AP327" s="71">
        <v>0.69898324700000003</v>
      </c>
    </row>
    <row r="328" spans="1:42" x14ac:dyDescent="0.2">
      <c r="A328" t="s">
        <v>224</v>
      </c>
      <c r="B328" t="s">
        <v>102</v>
      </c>
      <c r="C328" t="s">
        <v>106</v>
      </c>
      <c r="D328" t="s">
        <v>105</v>
      </c>
      <c r="E328" s="71">
        <v>0.103246304</v>
      </c>
      <c r="F328" s="71">
        <v>0.102923366</v>
      </c>
      <c r="G328" s="71">
        <v>0.10202834299999999</v>
      </c>
      <c r="H328" s="71">
        <v>0.100473734</v>
      </c>
      <c r="I328" s="71">
        <v>9.9174234E-2</v>
      </c>
      <c r="J328" s="71">
        <v>9.8151536999999997E-2</v>
      </c>
      <c r="K328" s="71">
        <v>9.7354862E-2</v>
      </c>
      <c r="L328" s="71">
        <v>1.8985367E-2</v>
      </c>
      <c r="M328" s="71">
        <v>2.1461634E-2</v>
      </c>
      <c r="N328" s="71">
        <v>1.8960608E-2</v>
      </c>
      <c r="O328" s="71">
        <v>1.5909883999999999E-2</v>
      </c>
      <c r="P328" s="71">
        <v>1.681378E-2</v>
      </c>
      <c r="Q328" s="71">
        <v>2.0537432000000001E-2</v>
      </c>
      <c r="R328" s="71">
        <v>2.2922292E-2</v>
      </c>
      <c r="S328" s="71">
        <v>0.195546896</v>
      </c>
      <c r="T328" s="71">
        <v>0.19127744899999999</v>
      </c>
      <c r="U328" s="71">
        <v>0.19328263200000001</v>
      </c>
      <c r="V328" s="71">
        <v>0.193398922</v>
      </c>
      <c r="W328" s="71">
        <v>0.189038655</v>
      </c>
      <c r="X328" s="71">
        <v>0.180701218</v>
      </c>
      <c r="Y328" s="71">
        <v>0.17610535599999999</v>
      </c>
      <c r="Z328" s="71">
        <v>3.5003833999999998E-2</v>
      </c>
      <c r="AA328" s="71">
        <v>3.4053601000000003E-2</v>
      </c>
      <c r="AB328" s="71">
        <v>2.7576649000000002E-2</v>
      </c>
      <c r="AC328" s="71">
        <v>2.0996167999999999E-2</v>
      </c>
      <c r="AD328" s="71">
        <v>1.9630640000000001E-2</v>
      </c>
      <c r="AE328" s="71">
        <v>2.0307384000000001E-2</v>
      </c>
      <c r="AF328" s="71">
        <v>2.2971763999999999E-2</v>
      </c>
      <c r="AG328" s="71">
        <v>0.17611738199999999</v>
      </c>
      <c r="AH328" s="71">
        <v>0.176511738</v>
      </c>
      <c r="AI328" s="71">
        <v>0.182030359</v>
      </c>
      <c r="AJ328" s="71">
        <v>0.186318335</v>
      </c>
      <c r="AK328" s="71">
        <v>0.18510421599999999</v>
      </c>
      <c r="AL328" s="71">
        <v>0.18210797100000001</v>
      </c>
      <c r="AM328" s="71">
        <v>0.17730362799999999</v>
      </c>
      <c r="AN328" s="71">
        <v>0.18069632199999999</v>
      </c>
      <c r="AO328" s="71">
        <v>-8.4545374000000006E-2</v>
      </c>
      <c r="AP328" s="71">
        <v>0.66912780800000005</v>
      </c>
    </row>
    <row r="329" spans="1:42" x14ac:dyDescent="0.2">
      <c r="A329" t="s">
        <v>200</v>
      </c>
      <c r="B329" t="s">
        <v>102</v>
      </c>
      <c r="C329" t="s">
        <v>106</v>
      </c>
      <c r="D329" t="s">
        <v>105</v>
      </c>
      <c r="E329" s="71">
        <v>7.8191253000000002E-2</v>
      </c>
      <c r="F329" s="71">
        <v>7.8497501999999997E-2</v>
      </c>
      <c r="G329" s="71">
        <v>7.9047890999999995E-2</v>
      </c>
      <c r="H329" s="71">
        <v>7.9569669999999995E-2</v>
      </c>
      <c r="I329" s="71">
        <v>7.9816076E-2</v>
      </c>
      <c r="J329" s="71">
        <v>7.9952570000000001E-2</v>
      </c>
      <c r="K329" s="71">
        <v>8.0039473999999999E-2</v>
      </c>
      <c r="L329" s="71">
        <v>-1.2719839E-2</v>
      </c>
      <c r="M329" s="71">
        <v>-7.2353549999999997E-3</v>
      </c>
      <c r="N329" s="71">
        <v>-7.0345820000000002E-3</v>
      </c>
      <c r="O329" s="71">
        <v>-5.4347110000000001E-3</v>
      </c>
      <c r="P329" s="71">
        <v>-2.7894930000000001E-3</v>
      </c>
      <c r="Q329" s="71">
        <v>8.9746100000000001E-4</v>
      </c>
      <c r="R329" s="71">
        <v>4.0285199999999998E-3</v>
      </c>
      <c r="S329" s="71">
        <v>0.17989106199999999</v>
      </c>
      <c r="T329" s="71">
        <v>0.172795752</v>
      </c>
      <c r="U329" s="71">
        <v>0.172466534</v>
      </c>
      <c r="V329" s="71">
        <v>0.171594786</v>
      </c>
      <c r="W329" s="71">
        <v>0.168851951</v>
      </c>
      <c r="X329" s="71">
        <v>0.165226014</v>
      </c>
      <c r="Y329" s="71">
        <v>0.16207560900000001</v>
      </c>
      <c r="Z329" s="71">
        <v>1.2965882E-2</v>
      </c>
      <c r="AA329" s="71">
        <v>1.3013780000000001E-2</v>
      </c>
      <c r="AB329" s="71">
        <v>5.8870909999999997E-3</v>
      </c>
      <c r="AC329" s="71">
        <v>1.3410080000000001E-3</v>
      </c>
      <c r="AD329" s="71">
        <v>2.7623830000000002E-3</v>
      </c>
      <c r="AE329" s="71">
        <v>4.8962390000000001E-3</v>
      </c>
      <c r="AF329" s="71">
        <v>7.4155560000000002E-3</v>
      </c>
      <c r="AG329" s="71">
        <v>0.14773977499999999</v>
      </c>
      <c r="AH329" s="71">
        <v>0.14833871200000001</v>
      </c>
      <c r="AI329" s="71">
        <v>0.15768737399999999</v>
      </c>
      <c r="AJ329" s="71">
        <v>0.16409148400000001</v>
      </c>
      <c r="AK329" s="71">
        <v>0.16296638999999999</v>
      </c>
      <c r="AL329" s="71">
        <v>0.160780912</v>
      </c>
      <c r="AM329" s="71">
        <v>0.158053467</v>
      </c>
      <c r="AN329" s="71">
        <v>0.21763584399999999</v>
      </c>
      <c r="AO329" s="71">
        <v>-0.24565462599999999</v>
      </c>
      <c r="AP329" s="71">
        <v>0.73017918900000001</v>
      </c>
    </row>
    <row r="330" spans="1:42" x14ac:dyDescent="0.2">
      <c r="A330" t="s">
        <v>259</v>
      </c>
      <c r="B330" t="s">
        <v>102</v>
      </c>
      <c r="C330" t="s">
        <v>106</v>
      </c>
      <c r="D330" t="s">
        <v>105</v>
      </c>
      <c r="E330" s="71">
        <v>0.102427694</v>
      </c>
      <c r="F330" s="71">
        <v>0.10177502300000001</v>
      </c>
      <c r="G330" s="71">
        <v>9.9970670999999997E-2</v>
      </c>
      <c r="H330" s="71">
        <v>9.7012372999999999E-2</v>
      </c>
      <c r="I330" s="71">
        <v>9.4784352000000002E-2</v>
      </c>
      <c r="J330" s="71">
        <v>9.3201490999999997E-2</v>
      </c>
      <c r="K330" s="71">
        <v>9.2067095000000002E-2</v>
      </c>
      <c r="L330" s="71">
        <v>1.4393477999999999E-2</v>
      </c>
      <c r="M330" s="71">
        <v>1.9989487E-2</v>
      </c>
      <c r="N330" s="71">
        <v>1.6549628E-2</v>
      </c>
      <c r="O330" s="71">
        <v>1.0902909000000001E-2</v>
      </c>
      <c r="P330" s="71">
        <v>1.0454143000000001E-2</v>
      </c>
      <c r="Q330" s="71">
        <v>1.3471979E-2</v>
      </c>
      <c r="R330" s="71">
        <v>1.5726429E-2</v>
      </c>
      <c r="S330" s="71">
        <v>0.19684923500000001</v>
      </c>
      <c r="T330" s="71">
        <v>0.19119318699999999</v>
      </c>
      <c r="U330" s="71">
        <v>0.191167753</v>
      </c>
      <c r="V330" s="71">
        <v>0.19055698600000001</v>
      </c>
      <c r="W330" s="71">
        <v>0.18693874099999999</v>
      </c>
      <c r="X330" s="71">
        <v>0.180107817</v>
      </c>
      <c r="Y330" s="71">
        <v>0.174574339</v>
      </c>
      <c r="Z330" s="71">
        <v>3.6189297000000002E-2</v>
      </c>
      <c r="AA330" s="71">
        <v>3.4830080999999999E-2</v>
      </c>
      <c r="AB330" s="71">
        <v>2.7486126999999999E-2</v>
      </c>
      <c r="AC330" s="71">
        <v>2.0036661000000001E-2</v>
      </c>
      <c r="AD330" s="71">
        <v>1.6872966E-2</v>
      </c>
      <c r="AE330" s="71">
        <v>1.7506088999999999E-2</v>
      </c>
      <c r="AF330" s="71">
        <v>1.7545387999999999E-2</v>
      </c>
      <c r="AG330" s="71">
        <v>0.173022015</v>
      </c>
      <c r="AH330" s="71">
        <v>0.173175156</v>
      </c>
      <c r="AI330" s="71">
        <v>0.17771661</v>
      </c>
      <c r="AJ330" s="71">
        <v>0.179966248</v>
      </c>
      <c r="AK330" s="71">
        <v>0.17883981800000001</v>
      </c>
      <c r="AL330" s="71">
        <v>0.17469279800000001</v>
      </c>
      <c r="AM330" s="71">
        <v>0.17220617099999999</v>
      </c>
      <c r="AN330" s="71">
        <v>0.192291665</v>
      </c>
      <c r="AO330" s="71">
        <v>-0.19172466899999999</v>
      </c>
      <c r="AP330" s="71">
        <v>0.70442756399999995</v>
      </c>
    </row>
    <row r="331" spans="1:42" x14ac:dyDescent="0.2">
      <c r="A331" t="s">
        <v>288</v>
      </c>
      <c r="B331" t="s">
        <v>102</v>
      </c>
      <c r="C331" t="s">
        <v>106</v>
      </c>
      <c r="D331" t="s">
        <v>105</v>
      </c>
      <c r="E331" s="71">
        <v>0.110965463</v>
      </c>
      <c r="F331" s="71">
        <v>0.110762807</v>
      </c>
      <c r="G331" s="71">
        <v>0.110264632</v>
      </c>
      <c r="H331" s="71">
        <v>0.109548065</v>
      </c>
      <c r="I331" s="71">
        <v>0.109058114</v>
      </c>
      <c r="J331" s="71">
        <v>0.108726474</v>
      </c>
      <c r="K331" s="71">
        <v>0.108494016</v>
      </c>
      <c r="L331" s="71">
        <v>2.9707963E-2</v>
      </c>
      <c r="M331" s="71">
        <v>3.2780654999999999E-2</v>
      </c>
      <c r="N331" s="71">
        <v>3.0185838999999999E-2</v>
      </c>
      <c r="O331" s="71">
        <v>2.9065179999999999E-2</v>
      </c>
      <c r="P331" s="71">
        <v>2.8068778999999999E-2</v>
      </c>
      <c r="Q331" s="71">
        <v>2.9788122E-2</v>
      </c>
      <c r="R331" s="71">
        <v>3.2316933999999999E-2</v>
      </c>
      <c r="S331" s="71">
        <v>0.200033447</v>
      </c>
      <c r="T331" s="71">
        <v>0.19503380400000001</v>
      </c>
      <c r="U331" s="71">
        <v>0.195799997</v>
      </c>
      <c r="V331" s="71">
        <v>0.198137744</v>
      </c>
      <c r="W331" s="71">
        <v>0.196657252</v>
      </c>
      <c r="X331" s="71">
        <v>0.19278520800000001</v>
      </c>
      <c r="Y331" s="71">
        <v>0.189264347</v>
      </c>
      <c r="Z331" s="71">
        <v>4.6258269999999997E-2</v>
      </c>
      <c r="AA331" s="71">
        <v>4.5488295999999998E-2</v>
      </c>
      <c r="AB331" s="71">
        <v>3.8824219E-2</v>
      </c>
      <c r="AC331" s="71">
        <v>3.1125956999999999E-2</v>
      </c>
      <c r="AD331" s="71">
        <v>2.9994607E-2</v>
      </c>
      <c r="AE331" s="71">
        <v>3.4506911000000001E-2</v>
      </c>
      <c r="AF331" s="71">
        <v>3.6296281E-2</v>
      </c>
      <c r="AG331" s="71">
        <v>0.17978829599999999</v>
      </c>
      <c r="AH331" s="71">
        <v>0.18022865199999999</v>
      </c>
      <c r="AI331" s="71">
        <v>0.18675850999999999</v>
      </c>
      <c r="AJ331" s="71">
        <v>0.19410659899999999</v>
      </c>
      <c r="AK331" s="71">
        <v>0.194365866</v>
      </c>
      <c r="AL331" s="71">
        <v>0.18842367099999999</v>
      </c>
      <c r="AM331" s="71">
        <v>0.18586586799999999</v>
      </c>
      <c r="AN331" s="71">
        <v>0.15725433699999999</v>
      </c>
      <c r="AO331" s="71">
        <v>-0.12387366599999999</v>
      </c>
      <c r="AP331" s="71">
        <v>0.64931316500000003</v>
      </c>
    </row>
    <row r="332" spans="1:42" x14ac:dyDescent="0.2">
      <c r="A332" t="s">
        <v>272</v>
      </c>
      <c r="B332" t="s">
        <v>102</v>
      </c>
      <c r="C332" t="s">
        <v>106</v>
      </c>
      <c r="D332" t="s">
        <v>105</v>
      </c>
      <c r="E332" s="71">
        <v>9.4182463999999994E-2</v>
      </c>
      <c r="F332" s="71">
        <v>9.4733330000000004E-2</v>
      </c>
      <c r="G332" s="71">
        <v>9.5938059000000006E-2</v>
      </c>
      <c r="H332" s="71">
        <v>9.7444507E-2</v>
      </c>
      <c r="I332" s="71">
        <v>9.8363849000000003E-2</v>
      </c>
      <c r="J332" s="71">
        <v>9.8950000999999996E-2</v>
      </c>
      <c r="K332" s="71">
        <v>9.9348755999999996E-2</v>
      </c>
      <c r="L332" s="71">
        <v>1.3619123E-2</v>
      </c>
      <c r="M332" s="71">
        <v>1.6246914000000001E-2</v>
      </c>
      <c r="N332" s="71">
        <v>1.6013668000000002E-2</v>
      </c>
      <c r="O332" s="71">
        <v>1.6272004999999999E-2</v>
      </c>
      <c r="P332" s="71">
        <v>1.9821913E-2</v>
      </c>
      <c r="Q332" s="71">
        <v>2.2844646999999999E-2</v>
      </c>
      <c r="R332" s="71">
        <v>2.4593795000000002E-2</v>
      </c>
      <c r="S332" s="71">
        <v>0.181782113</v>
      </c>
      <c r="T332" s="71">
        <v>0.17977958999999999</v>
      </c>
      <c r="U332" s="71">
        <v>0.18191367899999999</v>
      </c>
      <c r="V332" s="71">
        <v>0.18566406899999999</v>
      </c>
      <c r="W332" s="71">
        <v>0.18418420899999999</v>
      </c>
      <c r="X332" s="71">
        <v>0.18002845100000001</v>
      </c>
      <c r="Y332" s="71">
        <v>0.17790528999999999</v>
      </c>
      <c r="Z332" s="71">
        <v>2.9657188000000001E-2</v>
      </c>
      <c r="AA332" s="71">
        <v>2.5693800999999999E-2</v>
      </c>
      <c r="AB332" s="71">
        <v>2.1839199E-2</v>
      </c>
      <c r="AC332" s="71">
        <v>1.4317369999999999E-2</v>
      </c>
      <c r="AD332" s="71">
        <v>1.8612599000000001E-2</v>
      </c>
      <c r="AE332" s="71">
        <v>2.4780608999999999E-2</v>
      </c>
      <c r="AF332" s="71">
        <v>2.6736922E-2</v>
      </c>
      <c r="AG332" s="71">
        <v>0.16286815399999999</v>
      </c>
      <c r="AH332" s="71">
        <v>0.16855450399999999</v>
      </c>
      <c r="AI332" s="71">
        <v>0.175566838</v>
      </c>
      <c r="AJ332" s="71">
        <v>0.18758407499999999</v>
      </c>
      <c r="AK332" s="71">
        <v>0.18454166499999999</v>
      </c>
      <c r="AL332" s="71">
        <v>0.178643259</v>
      </c>
      <c r="AM332" s="71">
        <v>0.17724458000000001</v>
      </c>
      <c r="AN332" s="71">
        <v>0.16368005899999999</v>
      </c>
      <c r="AO332" s="71">
        <v>-4.8565065999999997E-2</v>
      </c>
      <c r="AP332" s="71">
        <v>0.66795936199999995</v>
      </c>
    </row>
    <row r="333" spans="1:42" x14ac:dyDescent="0.2">
      <c r="A333" t="s">
        <v>178</v>
      </c>
      <c r="B333" t="s">
        <v>102</v>
      </c>
      <c r="C333" t="s">
        <v>106</v>
      </c>
      <c r="D333" t="s">
        <v>105</v>
      </c>
      <c r="E333" s="71">
        <v>0.100357744</v>
      </c>
      <c r="F333" s="71">
        <v>0.101103159</v>
      </c>
      <c r="G333" s="71">
        <v>0.102572891</v>
      </c>
      <c r="H333" s="71">
        <v>0.104236337</v>
      </c>
      <c r="I333" s="71">
        <v>0.105203005</v>
      </c>
      <c r="J333" s="71">
        <v>0.105813238</v>
      </c>
      <c r="K333" s="71">
        <v>0.106228563</v>
      </c>
      <c r="L333" s="71">
        <v>1.6177884999999999E-2</v>
      </c>
      <c r="M333" s="71">
        <v>1.9036250000000001E-2</v>
      </c>
      <c r="N333" s="71">
        <v>2.1111321999999998E-2</v>
      </c>
      <c r="O333" s="71">
        <v>2.0427691000000001E-2</v>
      </c>
      <c r="P333" s="71">
        <v>2.3206751000000001E-2</v>
      </c>
      <c r="Q333" s="71">
        <v>2.5925551000000002E-2</v>
      </c>
      <c r="R333" s="71">
        <v>3.0423519E-2</v>
      </c>
      <c r="S333" s="71">
        <v>0.19242277799999999</v>
      </c>
      <c r="T333" s="71">
        <v>0.18812836799999999</v>
      </c>
      <c r="U333" s="71">
        <v>0.18995901300000001</v>
      </c>
      <c r="V333" s="71">
        <v>0.19390860800000001</v>
      </c>
      <c r="W333" s="71">
        <v>0.19335912499999999</v>
      </c>
      <c r="X333" s="71">
        <v>0.19166070399999999</v>
      </c>
      <c r="Y333" s="71">
        <v>0.188347663</v>
      </c>
      <c r="Z333" s="71">
        <v>3.4345737000000001E-2</v>
      </c>
      <c r="AA333" s="71">
        <v>3.5731182E-2</v>
      </c>
      <c r="AB333" s="71">
        <v>2.8433710000000001E-2</v>
      </c>
      <c r="AC333" s="71">
        <v>2.4460520999999999E-2</v>
      </c>
      <c r="AD333" s="71">
        <v>2.5185354E-2</v>
      </c>
      <c r="AE333" s="71">
        <v>2.9224930999999999E-2</v>
      </c>
      <c r="AF333" s="71">
        <v>3.2223241999999999E-2</v>
      </c>
      <c r="AG333" s="71">
        <v>0.17070363299999999</v>
      </c>
      <c r="AH333" s="71">
        <v>0.170719447</v>
      </c>
      <c r="AI333" s="71">
        <v>0.182211236</v>
      </c>
      <c r="AJ333" s="71">
        <v>0.19040484599999999</v>
      </c>
      <c r="AK333" s="71">
        <v>0.191647341</v>
      </c>
      <c r="AL333" s="71">
        <v>0.18826548600000001</v>
      </c>
      <c r="AM333" s="71">
        <v>0.18569259599999999</v>
      </c>
      <c r="AN333" s="71">
        <v>0.16936097</v>
      </c>
      <c r="AO333" s="71">
        <v>-0.16055753</v>
      </c>
      <c r="AP333" s="71">
        <v>0.698381484</v>
      </c>
    </row>
    <row r="334" spans="1:42" x14ac:dyDescent="0.2">
      <c r="A334" t="s">
        <v>191</v>
      </c>
      <c r="B334" t="s">
        <v>102</v>
      </c>
      <c r="C334" t="s">
        <v>106</v>
      </c>
      <c r="D334" t="s">
        <v>105</v>
      </c>
      <c r="E334" s="71">
        <v>0.121958109</v>
      </c>
      <c r="F334" s="71">
        <v>0.122146698</v>
      </c>
      <c r="G334" s="71">
        <v>0.122875782</v>
      </c>
      <c r="H334" s="71">
        <v>0.12437197799999999</v>
      </c>
      <c r="I334" s="71">
        <v>0.125632616</v>
      </c>
      <c r="J334" s="71">
        <v>0.12656888599999999</v>
      </c>
      <c r="K334" s="71">
        <v>0.12725255099999999</v>
      </c>
      <c r="L334" s="71">
        <v>3.6798097000000002E-2</v>
      </c>
      <c r="M334" s="71">
        <v>3.9665482000000002E-2</v>
      </c>
      <c r="N334" s="71">
        <v>3.7185242E-2</v>
      </c>
      <c r="O334" s="71">
        <v>3.6407153999999997E-2</v>
      </c>
      <c r="P334" s="71">
        <v>4.0902216999999998E-2</v>
      </c>
      <c r="Q334" s="71">
        <v>4.4914082000000001E-2</v>
      </c>
      <c r="R334" s="71">
        <v>4.9954614000000001E-2</v>
      </c>
      <c r="S334" s="71">
        <v>0.214269191</v>
      </c>
      <c r="T334" s="71">
        <v>0.21231788700000001</v>
      </c>
      <c r="U334" s="71">
        <v>0.21425079899999999</v>
      </c>
      <c r="V334" s="71">
        <v>0.21868514999999999</v>
      </c>
      <c r="W334" s="71">
        <v>0.21583359399999999</v>
      </c>
      <c r="X334" s="71">
        <v>0.212459009</v>
      </c>
      <c r="Y334" s="71">
        <v>0.21124979699999999</v>
      </c>
      <c r="Z334" s="71">
        <v>5.2288115000000003E-2</v>
      </c>
      <c r="AA334" s="71">
        <v>5.4585515000000001E-2</v>
      </c>
      <c r="AB334" s="71">
        <v>5.0568232999999997E-2</v>
      </c>
      <c r="AC334" s="71">
        <v>4.7486559999999997E-2</v>
      </c>
      <c r="AD334" s="71">
        <v>5.0242892999999997E-2</v>
      </c>
      <c r="AE334" s="71">
        <v>5.1235329000000003E-2</v>
      </c>
      <c r="AF334" s="71">
        <v>5.6103215999999997E-2</v>
      </c>
      <c r="AG334" s="71">
        <v>0.196371247</v>
      </c>
      <c r="AH334" s="71">
        <v>0.19415803800000001</v>
      </c>
      <c r="AI334" s="71">
        <v>0.200300807</v>
      </c>
      <c r="AJ334" s="71">
        <v>0.207060937</v>
      </c>
      <c r="AK334" s="71">
        <v>0.20658728600000001</v>
      </c>
      <c r="AL334" s="71">
        <v>0.207453531</v>
      </c>
      <c r="AM334" s="71">
        <v>0.20333014099999999</v>
      </c>
      <c r="AN334" s="71">
        <v>0.17410452100000001</v>
      </c>
      <c r="AO334" s="71">
        <v>-2.0381058000000001E-2</v>
      </c>
      <c r="AP334" s="71">
        <v>0.70838008799999996</v>
      </c>
    </row>
    <row r="335" spans="1:42" x14ac:dyDescent="0.2">
      <c r="A335" t="s">
        <v>254</v>
      </c>
      <c r="B335" t="s">
        <v>102</v>
      </c>
      <c r="C335" t="s">
        <v>106</v>
      </c>
      <c r="D335" t="s">
        <v>105</v>
      </c>
      <c r="E335" s="71">
        <v>9.8277302999999996E-2</v>
      </c>
      <c r="F335" s="71">
        <v>9.9569055000000004E-2</v>
      </c>
      <c r="G335" s="71">
        <v>0.102370235</v>
      </c>
      <c r="H335" s="71">
        <v>0.105780336</v>
      </c>
      <c r="I335" s="71">
        <v>0.107773992</v>
      </c>
      <c r="J335" s="71">
        <v>0.108998391</v>
      </c>
      <c r="K335" s="71">
        <v>0.109811398</v>
      </c>
      <c r="L335" s="71">
        <v>9.7748520000000005E-3</v>
      </c>
      <c r="M335" s="71">
        <v>1.5515688999999999E-2</v>
      </c>
      <c r="N335" s="71">
        <v>1.7087747E-2</v>
      </c>
      <c r="O335" s="71">
        <v>1.9819301000000001E-2</v>
      </c>
      <c r="P335" s="71">
        <v>2.2802837999999999E-2</v>
      </c>
      <c r="Q335" s="71">
        <v>2.7831433999999999E-2</v>
      </c>
      <c r="R335" s="71">
        <v>3.2106834000000001E-2</v>
      </c>
      <c r="S335" s="71">
        <v>0.19537294299999999</v>
      </c>
      <c r="T335" s="71">
        <v>0.190758237</v>
      </c>
      <c r="U335" s="71">
        <v>0.19600452600000001</v>
      </c>
      <c r="V335" s="71">
        <v>0.19969589200000001</v>
      </c>
      <c r="W335" s="71">
        <v>0.20076407900000001</v>
      </c>
      <c r="X335" s="71">
        <v>0.197151034</v>
      </c>
      <c r="Y335" s="71">
        <v>0.19387082</v>
      </c>
      <c r="Z335" s="71">
        <v>3.6241190999999999E-2</v>
      </c>
      <c r="AA335" s="71">
        <v>3.3492293999999999E-2</v>
      </c>
      <c r="AB335" s="71">
        <v>3.0059058E-2</v>
      </c>
      <c r="AC335" s="71">
        <v>2.9285714000000001E-2</v>
      </c>
      <c r="AD335" s="71">
        <v>3.0862685000000001E-2</v>
      </c>
      <c r="AE335" s="71">
        <v>3.3558118999999997E-2</v>
      </c>
      <c r="AF335" s="71">
        <v>3.5878260000000002E-2</v>
      </c>
      <c r="AG335" s="71">
        <v>0.164133847</v>
      </c>
      <c r="AH335" s="71">
        <v>0.16999191899999999</v>
      </c>
      <c r="AI335" s="71">
        <v>0.17990429499999999</v>
      </c>
      <c r="AJ335" s="71">
        <v>0.18812404499999999</v>
      </c>
      <c r="AK335" s="71">
        <v>0.190588919</v>
      </c>
      <c r="AL335" s="71">
        <v>0.19010349400000001</v>
      </c>
      <c r="AM335" s="71">
        <v>0.18917289900000001</v>
      </c>
      <c r="AN335" s="71">
        <v>0.19757570999999999</v>
      </c>
      <c r="AO335" s="71">
        <v>-0.121098818</v>
      </c>
      <c r="AP335" s="71">
        <v>0.77971163300000002</v>
      </c>
    </row>
    <row r="336" spans="1:42" x14ac:dyDescent="0.2">
      <c r="A336" t="s">
        <v>103</v>
      </c>
      <c r="B336" t="s">
        <v>102</v>
      </c>
      <c r="C336" t="s">
        <v>106</v>
      </c>
      <c r="D336" t="s">
        <v>105</v>
      </c>
      <c r="E336" s="71">
        <v>0.13315639200000001</v>
      </c>
      <c r="F336" s="71">
        <v>0.133024904</v>
      </c>
      <c r="G336" s="71">
        <v>0.13288566700000001</v>
      </c>
      <c r="H336" s="71">
        <v>0.133002492</v>
      </c>
      <c r="I336" s="71">
        <v>0.13325795800000001</v>
      </c>
      <c r="J336" s="71">
        <v>0.13349566099999999</v>
      </c>
      <c r="K336" s="71">
        <v>0.133685204</v>
      </c>
      <c r="L336" s="71">
        <v>3.9068339000000001E-2</v>
      </c>
      <c r="M336" s="71">
        <v>4.3585425999999997E-2</v>
      </c>
      <c r="N336" s="71">
        <v>4.4366511999999997E-2</v>
      </c>
      <c r="O336" s="71">
        <v>4.2960347000000003E-2</v>
      </c>
      <c r="P336" s="71">
        <v>4.7495373E-2</v>
      </c>
      <c r="Q336" s="71">
        <v>5.0137857000000001E-2</v>
      </c>
      <c r="R336" s="71">
        <v>5.2826087000000001E-2</v>
      </c>
      <c r="S336" s="71">
        <v>0.23814930200000001</v>
      </c>
      <c r="T336" s="71">
        <v>0.229855912</v>
      </c>
      <c r="U336" s="71">
        <v>0.22886853700000001</v>
      </c>
      <c r="V336" s="71">
        <v>0.23026798000000001</v>
      </c>
      <c r="W336" s="71">
        <v>0.22841583700000001</v>
      </c>
      <c r="X336" s="71">
        <v>0.22349843999999999</v>
      </c>
      <c r="Y336" s="71">
        <v>0.22085863</v>
      </c>
      <c r="Z336" s="71">
        <v>6.6665619999999995E-2</v>
      </c>
      <c r="AA336" s="71">
        <v>6.2722987999999993E-2</v>
      </c>
      <c r="AB336" s="71">
        <v>5.5564192999999998E-2</v>
      </c>
      <c r="AC336" s="71">
        <v>5.0744445999999999E-2</v>
      </c>
      <c r="AD336" s="71">
        <v>5.2715351000000001E-2</v>
      </c>
      <c r="AE336" s="71">
        <v>5.6269988999999999E-2</v>
      </c>
      <c r="AF336" s="71">
        <v>5.6412098000000001E-2</v>
      </c>
      <c r="AG336" s="71">
        <v>0.20390715100000001</v>
      </c>
      <c r="AH336" s="71">
        <v>0.20810754300000001</v>
      </c>
      <c r="AI336" s="71">
        <v>0.21603051600000001</v>
      </c>
      <c r="AJ336" s="71">
        <v>0.22188196700000001</v>
      </c>
      <c r="AK336" s="71">
        <v>0.22013676099999999</v>
      </c>
      <c r="AL336" s="71">
        <v>0.21652638299999999</v>
      </c>
      <c r="AM336" s="71">
        <v>0.216769463</v>
      </c>
      <c r="AN336" s="71">
        <v>0.19563968800000001</v>
      </c>
      <c r="AO336" s="71">
        <v>-6.5211995999999994E-2</v>
      </c>
      <c r="AP336" s="71">
        <v>0.77918657400000002</v>
      </c>
    </row>
    <row r="337" spans="1:42" x14ac:dyDescent="0.2">
      <c r="A337" t="s">
        <v>214</v>
      </c>
      <c r="B337" t="s">
        <v>102</v>
      </c>
      <c r="C337" t="s">
        <v>106</v>
      </c>
      <c r="D337" t="s">
        <v>105</v>
      </c>
      <c r="E337" s="71">
        <v>0.11421630000000001</v>
      </c>
      <c r="F337" s="71">
        <v>0.113450858</v>
      </c>
      <c r="G337" s="71">
        <v>0.11165044</v>
      </c>
      <c r="H337" s="71">
        <v>0.109194132</v>
      </c>
      <c r="I337" s="71">
        <v>0.107597085</v>
      </c>
      <c r="J337" s="71">
        <v>0.106555196</v>
      </c>
      <c r="K337" s="71">
        <v>0.105844351</v>
      </c>
      <c r="L337" s="71">
        <v>2.3943388999999999E-2</v>
      </c>
      <c r="M337" s="71">
        <v>2.7674078000000001E-2</v>
      </c>
      <c r="N337" s="71">
        <v>2.6705481E-2</v>
      </c>
      <c r="O337" s="71">
        <v>2.3597868000000001E-2</v>
      </c>
      <c r="P337" s="71">
        <v>2.3729752E-2</v>
      </c>
      <c r="Q337" s="71">
        <v>2.7798796000000001E-2</v>
      </c>
      <c r="R337" s="71">
        <v>2.9565491999999999E-2</v>
      </c>
      <c r="S337" s="71">
        <v>0.211299975</v>
      </c>
      <c r="T337" s="71">
        <v>0.20638293499999999</v>
      </c>
      <c r="U337" s="71">
        <v>0.20384778200000001</v>
      </c>
      <c r="V337" s="71">
        <v>0.201117929</v>
      </c>
      <c r="W337" s="71">
        <v>0.196890078</v>
      </c>
      <c r="X337" s="71">
        <v>0.192061435</v>
      </c>
      <c r="Y337" s="71">
        <v>0.18726657199999999</v>
      </c>
      <c r="Z337" s="71">
        <v>5.0999864999999998E-2</v>
      </c>
      <c r="AA337" s="71">
        <v>4.6537402999999998E-2</v>
      </c>
      <c r="AB337" s="71">
        <v>3.4928826000000003E-2</v>
      </c>
      <c r="AC337" s="71">
        <v>3.0747178999999999E-2</v>
      </c>
      <c r="AD337" s="71">
        <v>2.7684239999999999E-2</v>
      </c>
      <c r="AE337" s="71">
        <v>3.0626165E-2</v>
      </c>
      <c r="AF337" s="71">
        <v>3.2630350000000002E-2</v>
      </c>
      <c r="AG337" s="71">
        <v>0.18134251000000001</v>
      </c>
      <c r="AH337" s="71">
        <v>0.18476421200000001</v>
      </c>
      <c r="AI337" s="71">
        <v>0.19422292199999999</v>
      </c>
      <c r="AJ337" s="71">
        <v>0.19378355799999999</v>
      </c>
      <c r="AK337" s="71">
        <v>0.19390365600000001</v>
      </c>
      <c r="AL337" s="71">
        <v>0.188239777</v>
      </c>
      <c r="AM337" s="71">
        <v>0.184398917</v>
      </c>
      <c r="AN337" s="71">
        <v>0.19737175900000001</v>
      </c>
      <c r="AO337" s="71">
        <v>-6.1719531000000001E-2</v>
      </c>
      <c r="AP337" s="71">
        <v>0.77908311600000002</v>
      </c>
    </row>
    <row r="338" spans="1:42" x14ac:dyDescent="0.2">
      <c r="A338" t="s">
        <v>164</v>
      </c>
      <c r="B338" t="s">
        <v>102</v>
      </c>
      <c r="C338" t="s">
        <v>106</v>
      </c>
      <c r="D338" t="s">
        <v>105</v>
      </c>
      <c r="E338" s="71">
        <v>9.2595549999999999E-2</v>
      </c>
      <c r="F338" s="71">
        <v>9.2913958000000005E-2</v>
      </c>
      <c r="G338" s="71">
        <v>9.3768568999999996E-2</v>
      </c>
      <c r="H338" s="71">
        <v>9.5179768999999997E-2</v>
      </c>
      <c r="I338" s="71">
        <v>9.6293184000000004E-2</v>
      </c>
      <c r="J338" s="71">
        <v>9.7127648999999996E-2</v>
      </c>
      <c r="K338" s="71">
        <v>9.7752543999999997E-2</v>
      </c>
      <c r="L338" s="71">
        <v>9.0263840000000001E-3</v>
      </c>
      <c r="M338" s="71">
        <v>1.4355102999999999E-2</v>
      </c>
      <c r="N338" s="71">
        <v>1.3021507999999999E-2</v>
      </c>
      <c r="O338" s="71">
        <v>1.1821092E-2</v>
      </c>
      <c r="P338" s="71">
        <v>1.3435549E-2</v>
      </c>
      <c r="Q338" s="71">
        <v>1.6709109E-2</v>
      </c>
      <c r="R338" s="71">
        <v>2.0576174999999999E-2</v>
      </c>
      <c r="S338" s="71">
        <v>0.18206383100000001</v>
      </c>
      <c r="T338" s="71">
        <v>0.179484966</v>
      </c>
      <c r="U338" s="71">
        <v>0.18210744000000001</v>
      </c>
      <c r="V338" s="71">
        <v>0.18681777399999999</v>
      </c>
      <c r="W338" s="71">
        <v>0.18672548</v>
      </c>
      <c r="X338" s="71">
        <v>0.183126552</v>
      </c>
      <c r="Y338" s="71">
        <v>0.179819064</v>
      </c>
      <c r="Z338" s="71">
        <v>2.6520620000000002E-2</v>
      </c>
      <c r="AA338" s="71">
        <v>2.5534116999999999E-2</v>
      </c>
      <c r="AB338" s="71">
        <v>2.0027374000000001E-2</v>
      </c>
      <c r="AC338" s="71">
        <v>1.7178155000000001E-2</v>
      </c>
      <c r="AD338" s="71">
        <v>1.7495314000000001E-2</v>
      </c>
      <c r="AE338" s="71">
        <v>2.0453697E-2</v>
      </c>
      <c r="AF338" s="71">
        <v>2.3024533E-2</v>
      </c>
      <c r="AG338" s="71">
        <v>0.16304701999999999</v>
      </c>
      <c r="AH338" s="71">
        <v>0.16484927199999999</v>
      </c>
      <c r="AI338" s="71">
        <v>0.172996124</v>
      </c>
      <c r="AJ338" s="71">
        <v>0.17933759699999999</v>
      </c>
      <c r="AK338" s="71">
        <v>0.18137186399999999</v>
      </c>
      <c r="AL338" s="71">
        <v>0.17973059499999999</v>
      </c>
      <c r="AM338" s="71">
        <v>0.17809794000000001</v>
      </c>
      <c r="AN338" s="71">
        <v>0.17757964200000001</v>
      </c>
      <c r="AO338" s="71">
        <v>-0.11913879199999999</v>
      </c>
      <c r="AP338" s="71">
        <v>0.72608795800000003</v>
      </c>
    </row>
    <row r="339" spans="1:42" x14ac:dyDescent="0.2">
      <c r="A339" t="s">
        <v>345</v>
      </c>
      <c r="B339" t="s">
        <v>102</v>
      </c>
      <c r="C339" t="s">
        <v>106</v>
      </c>
      <c r="D339" t="s">
        <v>105</v>
      </c>
      <c r="E339" s="71">
        <v>8.7399217000000001E-2</v>
      </c>
      <c r="F339" s="71">
        <v>8.9572998000000001E-2</v>
      </c>
      <c r="G339" s="71">
        <v>9.4747516000000004E-2</v>
      </c>
      <c r="H339" s="71">
        <v>0.10207590699999999</v>
      </c>
      <c r="I339" s="71">
        <v>0.107072326</v>
      </c>
      <c r="J339" s="71">
        <v>0.11045942</v>
      </c>
      <c r="K339" s="71">
        <v>0.112836453</v>
      </c>
      <c r="L339" s="71">
        <v>4.9415090000000002E-3</v>
      </c>
      <c r="M339" s="71">
        <v>9.8170289999999997E-3</v>
      </c>
      <c r="N339" s="71">
        <v>1.3097858E-2</v>
      </c>
      <c r="O339" s="71">
        <v>1.7361425999999999E-2</v>
      </c>
      <c r="P339" s="71">
        <v>2.4760113E-2</v>
      </c>
      <c r="Q339" s="71">
        <v>3.0496728000000001E-2</v>
      </c>
      <c r="R339" s="71">
        <v>3.7308595E-2</v>
      </c>
      <c r="S339" s="71">
        <v>0.177389881</v>
      </c>
      <c r="T339" s="71">
        <v>0.17546187399999999</v>
      </c>
      <c r="U339" s="71">
        <v>0.18430223800000001</v>
      </c>
      <c r="V339" s="71">
        <v>0.19296485899999999</v>
      </c>
      <c r="W339" s="71">
        <v>0.19602138599999999</v>
      </c>
      <c r="X339" s="71">
        <v>0.19649159399999999</v>
      </c>
      <c r="Y339" s="71">
        <v>0.19449538</v>
      </c>
      <c r="Z339" s="71">
        <v>2.4731791999999999E-2</v>
      </c>
      <c r="AA339" s="71">
        <v>2.5618222E-2</v>
      </c>
      <c r="AB339" s="71">
        <v>2.5071026999999999E-2</v>
      </c>
      <c r="AC339" s="71">
        <v>2.4247063999999999E-2</v>
      </c>
      <c r="AD339" s="71">
        <v>3.1123103999999999E-2</v>
      </c>
      <c r="AE339" s="71">
        <v>3.9446817000000002E-2</v>
      </c>
      <c r="AF339" s="71">
        <v>4.3478514000000003E-2</v>
      </c>
      <c r="AG339" s="71">
        <v>0.15400999900000001</v>
      </c>
      <c r="AH339" s="71">
        <v>0.15763145000000001</v>
      </c>
      <c r="AI339" s="71">
        <v>0.169297646</v>
      </c>
      <c r="AJ339" s="71">
        <v>0.18599026499999999</v>
      </c>
      <c r="AK339" s="71">
        <v>0.188776996</v>
      </c>
      <c r="AL339" s="71">
        <v>0.186462088</v>
      </c>
      <c r="AM339" s="71">
        <v>0.18693594899999999</v>
      </c>
      <c r="AN339" s="71">
        <v>0.183763601</v>
      </c>
      <c r="AO339" s="71">
        <v>-8.9505861000000006E-2</v>
      </c>
      <c r="AP339" s="71">
        <v>0.74269656900000003</v>
      </c>
    </row>
    <row r="340" spans="1:42" x14ac:dyDescent="0.2">
      <c r="A340" t="s">
        <v>138</v>
      </c>
      <c r="B340" t="s">
        <v>102</v>
      </c>
      <c r="C340" t="s">
        <v>395</v>
      </c>
      <c r="D340" t="s">
        <v>100</v>
      </c>
      <c r="E340" s="71">
        <v>6.4725792000000004E-2</v>
      </c>
      <c r="F340" s="71">
        <v>6.5055643999999996E-2</v>
      </c>
      <c r="G340" s="75">
        <v>6.5794503000000004E-2</v>
      </c>
      <c r="H340" s="71">
        <v>6.6705619999999993E-2</v>
      </c>
      <c r="I340" s="71">
        <v>6.7209278999999997E-2</v>
      </c>
      <c r="J340" s="71">
        <v>6.7480956999999994E-2</v>
      </c>
      <c r="K340" s="71">
        <v>6.7632830000000005E-2</v>
      </c>
      <c r="L340" s="71">
        <v>3.1312989999999999E-2</v>
      </c>
      <c r="M340" s="71">
        <v>3.6037228999999997E-2</v>
      </c>
      <c r="N340" s="71">
        <v>3.8469226000000002E-2</v>
      </c>
      <c r="O340" s="71">
        <v>4.0268604999999999E-2</v>
      </c>
      <c r="P340" s="71">
        <v>4.2207399999999999E-2</v>
      </c>
      <c r="Q340" s="71">
        <v>4.3470287000000003E-2</v>
      </c>
      <c r="R340" s="71">
        <v>4.4297931999999998E-2</v>
      </c>
      <c r="S340" s="71">
        <v>9.8770774000000006E-2</v>
      </c>
      <c r="T340" s="71">
        <v>9.4911125999999998E-2</v>
      </c>
      <c r="U340" s="71">
        <v>9.3536428000000005E-2</v>
      </c>
      <c r="V340" s="71">
        <v>9.3671352999999999E-2</v>
      </c>
      <c r="W340" s="71">
        <v>9.2624966000000003E-2</v>
      </c>
      <c r="X340" s="71">
        <v>9.2298234000000007E-2</v>
      </c>
      <c r="Y340" s="71">
        <v>9.1584181000000001E-2</v>
      </c>
      <c r="Z340" s="71">
        <v>4.7433837999999999E-2</v>
      </c>
      <c r="AA340" s="71">
        <v>4.7488640999999998E-2</v>
      </c>
      <c r="AB340" s="71">
        <v>4.6883749000000002E-2</v>
      </c>
      <c r="AC340" s="71">
        <v>4.5218987000000002E-2</v>
      </c>
      <c r="AD340" s="71">
        <v>4.4947279E-2</v>
      </c>
      <c r="AE340" s="71">
        <v>4.6209963E-2</v>
      </c>
      <c r="AF340" s="71">
        <v>4.7336308000000001E-2</v>
      </c>
      <c r="AG340" s="71">
        <v>8.2306405999999999E-2</v>
      </c>
      <c r="AH340" s="71">
        <v>8.2920824000000004E-2</v>
      </c>
      <c r="AI340" s="71">
        <v>8.5050816000000001E-2</v>
      </c>
      <c r="AJ340" s="71">
        <v>8.8639071999999999E-2</v>
      </c>
      <c r="AK340" s="71">
        <v>8.9951017999999994E-2</v>
      </c>
      <c r="AL340" s="71">
        <v>8.9189478000000003E-2</v>
      </c>
      <c r="AM340" s="71">
        <v>8.8327356999999995E-2</v>
      </c>
      <c r="AN340" s="71">
        <v>9.0647845000000005E-2</v>
      </c>
      <c r="AO340" s="71">
        <v>0.20512960799999999</v>
      </c>
      <c r="AP340" s="71">
        <v>0.71449569400000001</v>
      </c>
    </row>
    <row r="341" spans="1:42" x14ac:dyDescent="0.2">
      <c r="A341" t="s">
        <v>240</v>
      </c>
      <c r="B341" t="s">
        <v>102</v>
      </c>
      <c r="C341" t="s">
        <v>395</v>
      </c>
      <c r="D341" t="s">
        <v>100</v>
      </c>
      <c r="E341" s="71">
        <v>5.0196325E-2</v>
      </c>
      <c r="F341" s="71">
        <v>5.0628459000000001E-2</v>
      </c>
      <c r="G341" s="71">
        <v>5.1669514E-2</v>
      </c>
      <c r="H341" s="71">
        <v>5.3145563E-2</v>
      </c>
      <c r="I341" s="71">
        <v>5.4149425000000001E-2</v>
      </c>
      <c r="J341" s="71">
        <v>5.4828201999999999E-2</v>
      </c>
      <c r="K341" s="71">
        <v>5.5303608999999997E-2</v>
      </c>
      <c r="L341" s="71">
        <v>1.9241927999999998E-2</v>
      </c>
      <c r="M341" s="71">
        <v>2.3213043999999999E-2</v>
      </c>
      <c r="N341" s="71">
        <v>2.5615618999999999E-2</v>
      </c>
      <c r="O341" s="71">
        <v>2.8287710000000001E-2</v>
      </c>
      <c r="P341" s="71">
        <v>2.9382867E-2</v>
      </c>
      <c r="Q341" s="71">
        <v>2.9653840000000001E-2</v>
      </c>
      <c r="R341" s="71">
        <v>2.9572099000000001E-2</v>
      </c>
      <c r="S341" s="71">
        <v>8.1385121000000005E-2</v>
      </c>
      <c r="T341" s="71">
        <v>7.8668484999999996E-2</v>
      </c>
      <c r="U341" s="71">
        <v>7.7893860999999995E-2</v>
      </c>
      <c r="V341" s="71">
        <v>7.9110443000000003E-2</v>
      </c>
      <c r="W341" s="71">
        <v>7.9632888999999998E-2</v>
      </c>
      <c r="X341" s="71">
        <v>8.017291E-2</v>
      </c>
      <c r="Y341" s="71">
        <v>8.1456787000000003E-2</v>
      </c>
      <c r="Z341" s="71">
        <v>3.1607132000000003E-2</v>
      </c>
      <c r="AA341" s="71">
        <v>3.2331628000000001E-2</v>
      </c>
      <c r="AB341" s="71">
        <v>3.2093677000000001E-2</v>
      </c>
      <c r="AC341" s="71">
        <v>3.2720250999999999E-2</v>
      </c>
      <c r="AD341" s="71">
        <v>3.3262159999999999E-2</v>
      </c>
      <c r="AE341" s="71">
        <v>3.2490677000000003E-2</v>
      </c>
      <c r="AF341" s="71">
        <v>3.1633164999999998E-2</v>
      </c>
      <c r="AG341" s="71">
        <v>6.9124379999999999E-2</v>
      </c>
      <c r="AH341" s="71">
        <v>6.9253457000000004E-2</v>
      </c>
      <c r="AI341" s="71">
        <v>7.1620794000000002E-2</v>
      </c>
      <c r="AJ341" s="71">
        <v>7.3979574000000006E-2</v>
      </c>
      <c r="AK341" s="71">
        <v>7.5463891000000005E-2</v>
      </c>
      <c r="AL341" s="71">
        <v>7.7654732000000004E-2</v>
      </c>
      <c r="AM341" s="71">
        <v>7.9523714999999995E-2</v>
      </c>
      <c r="AN341" s="71">
        <v>7.8716016999999999E-2</v>
      </c>
      <c r="AO341" s="71">
        <v>-8.5501301000000002E-2</v>
      </c>
      <c r="AP341" s="71">
        <v>0.51394200099999998</v>
      </c>
    </row>
    <row r="342" spans="1:42" x14ac:dyDescent="0.2">
      <c r="A342" t="s">
        <v>224</v>
      </c>
      <c r="B342" t="s">
        <v>102</v>
      </c>
      <c r="C342" t="s">
        <v>395</v>
      </c>
      <c r="D342" t="s">
        <v>100</v>
      </c>
      <c r="E342" s="71">
        <v>5.4417765E-2</v>
      </c>
      <c r="F342" s="71">
        <v>5.4934536999999999E-2</v>
      </c>
      <c r="G342" s="71">
        <v>5.6064045E-2</v>
      </c>
      <c r="H342" s="71">
        <v>5.7385002999999997E-2</v>
      </c>
      <c r="I342" s="71">
        <v>5.8044230000000002E-2</v>
      </c>
      <c r="J342" s="71">
        <v>5.8347379999999997E-2</v>
      </c>
      <c r="K342" s="71">
        <v>5.848006E-2</v>
      </c>
      <c r="L342" s="71">
        <v>2.2313403999999998E-2</v>
      </c>
      <c r="M342" s="71">
        <v>2.5724416E-2</v>
      </c>
      <c r="N342" s="71">
        <v>2.9411156000000001E-2</v>
      </c>
      <c r="O342" s="71">
        <v>3.2125285000000003E-2</v>
      </c>
      <c r="P342" s="71">
        <v>3.4417168999999997E-2</v>
      </c>
      <c r="Q342" s="71">
        <v>3.6355552999999999E-2</v>
      </c>
      <c r="R342" s="71">
        <v>3.7774093000000002E-2</v>
      </c>
      <c r="S342" s="71">
        <v>8.7619349999999999E-2</v>
      </c>
      <c r="T342" s="71">
        <v>8.4809855000000003E-2</v>
      </c>
      <c r="U342" s="71">
        <v>8.3437255000000002E-2</v>
      </c>
      <c r="V342" s="71">
        <v>8.2977886000000001E-2</v>
      </c>
      <c r="W342" s="71">
        <v>8.2000448000000004E-2</v>
      </c>
      <c r="X342" s="71">
        <v>8.1199785999999996E-2</v>
      </c>
      <c r="Y342" s="71">
        <v>7.9816507999999994E-2</v>
      </c>
      <c r="Z342" s="71">
        <v>3.4083056E-2</v>
      </c>
      <c r="AA342" s="71">
        <v>3.5108054999999999E-2</v>
      </c>
      <c r="AB342" s="71">
        <v>3.6146473999999998E-2</v>
      </c>
      <c r="AC342" s="71">
        <v>3.5362352999999999E-2</v>
      </c>
      <c r="AD342" s="71">
        <v>3.7131667E-2</v>
      </c>
      <c r="AE342" s="71">
        <v>3.8534807999999997E-2</v>
      </c>
      <c r="AF342" s="71">
        <v>4.0074726999999997E-2</v>
      </c>
      <c r="AG342" s="71">
        <v>7.5157066999999994E-2</v>
      </c>
      <c r="AH342" s="71">
        <v>7.5145069999999994E-2</v>
      </c>
      <c r="AI342" s="71">
        <v>7.6368950000000005E-2</v>
      </c>
      <c r="AJ342" s="71">
        <v>7.9881717000000005E-2</v>
      </c>
      <c r="AK342" s="71">
        <v>7.9383297000000005E-2</v>
      </c>
      <c r="AL342" s="71">
        <v>7.8542368000000001E-2</v>
      </c>
      <c r="AM342" s="71">
        <v>7.7214901000000002E-2</v>
      </c>
      <c r="AN342" s="71">
        <v>8.2065454999999995E-2</v>
      </c>
      <c r="AO342" s="71">
        <v>0.15227017600000001</v>
      </c>
      <c r="AP342" s="71">
        <v>0.45951481199999999</v>
      </c>
    </row>
    <row r="343" spans="1:42" x14ac:dyDescent="0.2">
      <c r="A343" t="s">
        <v>200</v>
      </c>
      <c r="B343" t="s">
        <v>102</v>
      </c>
      <c r="C343" t="s">
        <v>395</v>
      </c>
      <c r="D343" t="s">
        <v>100</v>
      </c>
      <c r="E343" s="71">
        <v>3.0106818E-2</v>
      </c>
      <c r="F343" s="71">
        <v>3.1215344999999999E-2</v>
      </c>
      <c r="G343" s="71">
        <v>3.3705627000000002E-2</v>
      </c>
      <c r="H343" s="71">
        <v>3.6991511999999997E-2</v>
      </c>
      <c r="I343" s="71">
        <v>3.9123928000000002E-2</v>
      </c>
      <c r="J343" s="71">
        <v>4.0537989000000003E-2</v>
      </c>
      <c r="K343" s="71">
        <v>4.1520631000000002E-2</v>
      </c>
      <c r="L343" s="71">
        <v>-1.2420743999999999E-2</v>
      </c>
      <c r="M343" s="71">
        <v>-5.9970129999999998E-3</v>
      </c>
      <c r="N343" s="71">
        <v>3.0047E-4</v>
      </c>
      <c r="O343" s="71">
        <v>6.3368549999999997E-3</v>
      </c>
      <c r="P343" s="71">
        <v>1.0782818E-2</v>
      </c>
      <c r="Q343" s="71">
        <v>1.3881489E-2</v>
      </c>
      <c r="R343" s="71">
        <v>1.6664697999999999E-2</v>
      </c>
      <c r="S343" s="71">
        <v>7.4589465999999993E-2</v>
      </c>
      <c r="T343" s="71">
        <v>6.9023117999999994E-2</v>
      </c>
      <c r="U343" s="71">
        <v>6.8816802999999996E-2</v>
      </c>
      <c r="V343" s="71">
        <v>6.8688056999999997E-2</v>
      </c>
      <c r="W343" s="71">
        <v>6.8054112999999999E-2</v>
      </c>
      <c r="X343" s="71">
        <v>6.7732885000000007E-2</v>
      </c>
      <c r="Y343" s="71">
        <v>6.7155993999999997E-2</v>
      </c>
      <c r="Z343" s="71">
        <v>8.2530910000000006E-3</v>
      </c>
      <c r="AA343" s="71">
        <v>1.0022097000000001E-2</v>
      </c>
      <c r="AB343" s="71">
        <v>1.1845321000000001E-2</v>
      </c>
      <c r="AC343" s="71">
        <v>1.4176210999999999E-2</v>
      </c>
      <c r="AD343" s="71">
        <v>1.7450212E-2</v>
      </c>
      <c r="AE343" s="71">
        <v>1.9784829E-2</v>
      </c>
      <c r="AF343" s="71">
        <v>2.1314798999999999E-2</v>
      </c>
      <c r="AG343" s="71">
        <v>5.2380136000000001E-2</v>
      </c>
      <c r="AH343" s="71">
        <v>5.2801991999999999E-2</v>
      </c>
      <c r="AI343" s="71">
        <v>5.5995534999999999E-2</v>
      </c>
      <c r="AJ343" s="71">
        <v>6.0289510999999997E-2</v>
      </c>
      <c r="AK343" s="71">
        <v>6.1236190000000003E-2</v>
      </c>
      <c r="AL343" s="71">
        <v>6.1695175999999997E-2</v>
      </c>
      <c r="AM343" s="71">
        <v>6.2111496000000002E-2</v>
      </c>
      <c r="AN343" s="71">
        <v>0.12130376</v>
      </c>
      <c r="AO343" s="71">
        <v>-0.22942109799999999</v>
      </c>
      <c r="AP343" s="71">
        <v>0.62551098400000005</v>
      </c>
    </row>
    <row r="344" spans="1:42" x14ac:dyDescent="0.2">
      <c r="A344" t="s">
        <v>259</v>
      </c>
      <c r="B344" t="s">
        <v>102</v>
      </c>
      <c r="C344" t="s">
        <v>395</v>
      </c>
      <c r="D344" t="s">
        <v>100</v>
      </c>
      <c r="E344" s="71">
        <v>5.3622995999999999E-2</v>
      </c>
      <c r="F344" s="71">
        <v>5.3818856999999998E-2</v>
      </c>
      <c r="G344" s="71">
        <v>5.4061686999999997E-2</v>
      </c>
      <c r="H344" s="71">
        <v>5.4007922999999999E-2</v>
      </c>
      <c r="I344" s="71">
        <v>5.3753411000000001E-2</v>
      </c>
      <c r="J344" s="71">
        <v>5.3503190999999999E-2</v>
      </c>
      <c r="K344" s="71">
        <v>5.3301012000000002E-2</v>
      </c>
      <c r="L344" s="71">
        <v>1.8141745000000001E-2</v>
      </c>
      <c r="M344" s="71">
        <v>2.2193655999999999E-2</v>
      </c>
      <c r="N344" s="71">
        <v>2.5103489999999999E-2</v>
      </c>
      <c r="O344" s="71">
        <v>2.7844469E-2</v>
      </c>
      <c r="P344" s="71">
        <v>2.9041220999999999E-2</v>
      </c>
      <c r="Q344" s="71">
        <v>3.0695811E-2</v>
      </c>
      <c r="R344" s="71">
        <v>3.1769764999999998E-2</v>
      </c>
      <c r="S344" s="71">
        <v>9.0637242000000007E-2</v>
      </c>
      <c r="T344" s="71">
        <v>8.6118297999999996E-2</v>
      </c>
      <c r="U344" s="71">
        <v>8.4041675999999996E-2</v>
      </c>
      <c r="V344" s="71">
        <v>8.1189203000000001E-2</v>
      </c>
      <c r="W344" s="71">
        <v>7.8946058999999999E-2</v>
      </c>
      <c r="X344" s="71">
        <v>7.7192651000000001E-2</v>
      </c>
      <c r="Y344" s="71">
        <v>7.5081355000000002E-2</v>
      </c>
      <c r="Z344" s="71">
        <v>3.3492341000000002E-2</v>
      </c>
      <c r="AA344" s="71">
        <v>3.450897E-2</v>
      </c>
      <c r="AB344" s="71">
        <v>3.3381331E-2</v>
      </c>
      <c r="AC344" s="71">
        <v>3.3950758999999997E-2</v>
      </c>
      <c r="AD344" s="71">
        <v>3.4263402999999998E-2</v>
      </c>
      <c r="AE344" s="71">
        <v>3.5247813000000003E-2</v>
      </c>
      <c r="AF344" s="71">
        <v>3.5799422999999997E-2</v>
      </c>
      <c r="AG344" s="71">
        <v>7.4089251999999994E-2</v>
      </c>
      <c r="AH344" s="71">
        <v>7.3435705000000004E-2</v>
      </c>
      <c r="AI344" s="71">
        <v>7.5111331000000003E-2</v>
      </c>
      <c r="AJ344" s="71">
        <v>7.4421360000000006E-2</v>
      </c>
      <c r="AK344" s="71">
        <v>7.3585815999999998E-2</v>
      </c>
      <c r="AL344" s="71">
        <v>7.2060564999999993E-2</v>
      </c>
      <c r="AM344" s="71">
        <v>7.1081951000000004E-2</v>
      </c>
      <c r="AN344" s="71">
        <v>9.3697875E-2</v>
      </c>
      <c r="AO344" s="71">
        <v>-0.114419484</v>
      </c>
      <c r="AP344" s="71">
        <v>0.55522318500000001</v>
      </c>
    </row>
    <row r="345" spans="1:42" x14ac:dyDescent="0.2">
      <c r="A345" t="s">
        <v>288</v>
      </c>
      <c r="B345" t="s">
        <v>102</v>
      </c>
      <c r="C345" t="s">
        <v>395</v>
      </c>
      <c r="D345" t="s">
        <v>100</v>
      </c>
      <c r="E345" s="71">
        <v>6.1906731E-2</v>
      </c>
      <c r="F345" s="71">
        <v>6.2546168999999999E-2</v>
      </c>
      <c r="G345" s="71">
        <v>6.4076459000000002E-2</v>
      </c>
      <c r="H345" s="71">
        <v>6.6237008E-2</v>
      </c>
      <c r="I345" s="71">
        <v>6.7703877999999995E-2</v>
      </c>
      <c r="J345" s="71">
        <v>6.8695342000000006E-2</v>
      </c>
      <c r="K345" s="71">
        <v>6.9389855E-2</v>
      </c>
      <c r="L345" s="71">
        <v>2.8356286000000001E-2</v>
      </c>
      <c r="M345" s="71">
        <v>3.2991463999999998E-2</v>
      </c>
      <c r="N345" s="71">
        <v>3.6641798000000003E-2</v>
      </c>
      <c r="O345" s="71">
        <v>4.0523636000000002E-2</v>
      </c>
      <c r="P345" s="71">
        <v>4.4033981E-2</v>
      </c>
      <c r="Q345" s="71">
        <v>4.6539696999999998E-2</v>
      </c>
      <c r="R345" s="71">
        <v>4.8788823000000002E-2</v>
      </c>
      <c r="S345" s="71">
        <v>9.6179780000000006E-2</v>
      </c>
      <c r="T345" s="71">
        <v>9.3646621999999999E-2</v>
      </c>
      <c r="U345" s="71">
        <v>9.2315214000000007E-2</v>
      </c>
      <c r="V345" s="71">
        <v>9.2192719000000006E-2</v>
      </c>
      <c r="W345" s="71">
        <v>9.2032134000000002E-2</v>
      </c>
      <c r="X345" s="71">
        <v>9.0865192999999997E-2</v>
      </c>
      <c r="Y345" s="71">
        <v>9.0332753000000002E-2</v>
      </c>
      <c r="Z345" s="71">
        <v>4.1271232999999997E-2</v>
      </c>
      <c r="AA345" s="71">
        <v>4.2275452999999998E-2</v>
      </c>
      <c r="AB345" s="71">
        <v>4.4307197E-2</v>
      </c>
      <c r="AC345" s="71">
        <v>4.6259514000000002E-2</v>
      </c>
      <c r="AD345" s="71">
        <v>4.8881885E-2</v>
      </c>
      <c r="AE345" s="71">
        <v>5.0276805000000001E-2</v>
      </c>
      <c r="AF345" s="71">
        <v>5.1942334999999999E-2</v>
      </c>
      <c r="AG345" s="71">
        <v>8.2894311999999998E-2</v>
      </c>
      <c r="AH345" s="71">
        <v>8.3157709999999996E-2</v>
      </c>
      <c r="AI345" s="71">
        <v>8.4174741999999997E-2</v>
      </c>
      <c r="AJ345" s="71">
        <v>8.6562833000000006E-2</v>
      </c>
      <c r="AK345" s="71">
        <v>8.6838002999999997E-2</v>
      </c>
      <c r="AL345" s="71">
        <v>8.7416613000000004E-2</v>
      </c>
      <c r="AM345" s="71">
        <v>8.7109958000000001E-2</v>
      </c>
      <c r="AN345" s="71">
        <v>8.424624E-2</v>
      </c>
      <c r="AO345" s="71">
        <v>7.9131389999999996E-2</v>
      </c>
      <c r="AP345" s="71">
        <v>0.530784072</v>
      </c>
    </row>
    <row r="346" spans="1:42" x14ac:dyDescent="0.2">
      <c r="A346" t="s">
        <v>272</v>
      </c>
      <c r="B346" t="s">
        <v>102</v>
      </c>
      <c r="C346" t="s">
        <v>395</v>
      </c>
      <c r="D346" t="s">
        <v>100</v>
      </c>
      <c r="E346" s="71">
        <v>4.5622265000000002E-2</v>
      </c>
      <c r="F346" s="71">
        <v>4.6980415999999997E-2</v>
      </c>
      <c r="G346" s="71">
        <v>5.0138031999999999E-2</v>
      </c>
      <c r="H346" s="71">
        <v>5.4429208999999999E-2</v>
      </c>
      <c r="I346" s="71">
        <v>5.7251608000000002E-2</v>
      </c>
      <c r="J346" s="71">
        <v>5.9128319999999998E-2</v>
      </c>
      <c r="K346" s="71">
        <v>6.0432708000000002E-2</v>
      </c>
      <c r="L346" s="71">
        <v>1.6150537999999999E-2</v>
      </c>
      <c r="M346" s="71">
        <v>2.0289299E-2</v>
      </c>
      <c r="N346" s="71">
        <v>2.5132096999999999E-2</v>
      </c>
      <c r="O346" s="71">
        <v>3.1214896999999998E-2</v>
      </c>
      <c r="P346" s="71">
        <v>3.5177605000000001E-2</v>
      </c>
      <c r="Q346" s="71">
        <v>3.8453030999999999E-2</v>
      </c>
      <c r="R346" s="71">
        <v>4.1227079E-2</v>
      </c>
      <c r="S346" s="71">
        <v>7.6126151000000003E-2</v>
      </c>
      <c r="T346" s="71">
        <v>7.4165042E-2</v>
      </c>
      <c r="U346" s="71">
        <v>7.5423791000000004E-2</v>
      </c>
      <c r="V346" s="71">
        <v>7.8132028000000006E-2</v>
      </c>
      <c r="W346" s="71">
        <v>7.9880569999999998E-2</v>
      </c>
      <c r="X346" s="71">
        <v>8.0345169999999994E-2</v>
      </c>
      <c r="Y346" s="71">
        <v>8.0458340000000003E-2</v>
      </c>
      <c r="Z346" s="71">
        <v>2.627504E-2</v>
      </c>
      <c r="AA346" s="71">
        <v>2.8513712E-2</v>
      </c>
      <c r="AB346" s="71">
        <v>3.0847765999999999E-2</v>
      </c>
      <c r="AC346" s="71">
        <v>3.5285136000000002E-2</v>
      </c>
      <c r="AD346" s="71">
        <v>3.8493527999999999E-2</v>
      </c>
      <c r="AE346" s="71">
        <v>4.0530003000000002E-2</v>
      </c>
      <c r="AF346" s="71">
        <v>4.2251477000000003E-2</v>
      </c>
      <c r="AG346" s="71">
        <v>6.5277970000000005E-2</v>
      </c>
      <c r="AH346" s="71">
        <v>6.5725442999999995E-2</v>
      </c>
      <c r="AI346" s="71">
        <v>6.9744308000000005E-2</v>
      </c>
      <c r="AJ346" s="71">
        <v>7.3894133000000001E-2</v>
      </c>
      <c r="AK346" s="71">
        <v>7.6323370000000001E-2</v>
      </c>
      <c r="AL346" s="71">
        <v>7.8039084999999994E-2</v>
      </c>
      <c r="AM346" s="71">
        <v>7.8914781000000003E-2</v>
      </c>
      <c r="AN346" s="71">
        <v>7.3157704000000004E-2</v>
      </c>
      <c r="AO346" s="71">
        <v>0.248737444</v>
      </c>
      <c r="AP346" s="71">
        <v>0.545338553</v>
      </c>
    </row>
    <row r="347" spans="1:42" x14ac:dyDescent="0.2">
      <c r="A347" t="s">
        <v>178</v>
      </c>
      <c r="B347" t="s">
        <v>102</v>
      </c>
      <c r="C347" t="s">
        <v>395</v>
      </c>
      <c r="D347" t="s">
        <v>100</v>
      </c>
      <c r="E347" s="71">
        <v>5.1613724E-2</v>
      </c>
      <c r="F347" s="71">
        <v>5.3165589999999999E-2</v>
      </c>
      <c r="G347" s="71">
        <v>5.6592737999999997E-2</v>
      </c>
      <c r="H347" s="71">
        <v>6.1054980000000002E-2</v>
      </c>
      <c r="I347" s="71">
        <v>6.3935792000000005E-2</v>
      </c>
      <c r="J347" s="71">
        <v>6.5844451999999998E-2</v>
      </c>
      <c r="K347" s="71">
        <v>6.7170893999999995E-2</v>
      </c>
      <c r="L347" s="71">
        <v>1.4755657E-2</v>
      </c>
      <c r="M347" s="71">
        <v>2.0174182999999998E-2</v>
      </c>
      <c r="N347" s="71">
        <v>2.6180967999999999E-2</v>
      </c>
      <c r="O347" s="71">
        <v>3.2906984E-2</v>
      </c>
      <c r="P347" s="71">
        <v>3.7494433000000001E-2</v>
      </c>
      <c r="Q347" s="71">
        <v>4.1063243999999999E-2</v>
      </c>
      <c r="R347" s="71">
        <v>4.4222487999999997E-2</v>
      </c>
      <c r="S347" s="71">
        <v>8.9933424999999997E-2</v>
      </c>
      <c r="T347" s="71">
        <v>8.7348748000000004E-2</v>
      </c>
      <c r="U347" s="71">
        <v>8.8044681999999999E-2</v>
      </c>
      <c r="V347" s="71">
        <v>8.9935609E-2</v>
      </c>
      <c r="W347" s="71">
        <v>9.0905708000000002E-2</v>
      </c>
      <c r="X347" s="71">
        <v>9.0701563999999998E-2</v>
      </c>
      <c r="Y347" s="71">
        <v>9.0489763000000001E-2</v>
      </c>
      <c r="Z347" s="71">
        <v>2.9066985E-2</v>
      </c>
      <c r="AA347" s="71">
        <v>3.1198902000000001E-2</v>
      </c>
      <c r="AB347" s="71">
        <v>3.4805151999999999E-2</v>
      </c>
      <c r="AC347" s="71">
        <v>4.0182981999999999E-2</v>
      </c>
      <c r="AD347" s="71">
        <v>4.3161904000000001E-2</v>
      </c>
      <c r="AE347" s="71">
        <v>4.6375000999999999E-2</v>
      </c>
      <c r="AF347" s="71">
        <v>4.8590280999999999E-2</v>
      </c>
      <c r="AG347" s="71">
        <v>7.4660295000000002E-2</v>
      </c>
      <c r="AH347" s="71">
        <v>7.5605773000000001E-2</v>
      </c>
      <c r="AI347" s="71">
        <v>7.8844461000000005E-2</v>
      </c>
      <c r="AJ347" s="71">
        <v>8.2350543999999998E-2</v>
      </c>
      <c r="AK347" s="71">
        <v>8.5128171000000002E-2</v>
      </c>
      <c r="AL347" s="71">
        <v>8.5680335999999996E-2</v>
      </c>
      <c r="AM347" s="71">
        <v>8.6084577999999995E-2</v>
      </c>
      <c r="AN347" s="71">
        <v>9.6655204999999994E-2</v>
      </c>
      <c r="AO347" s="71">
        <v>-1.0821825E-2</v>
      </c>
      <c r="AP347" s="71">
        <v>0.60546181499999996</v>
      </c>
    </row>
    <row r="348" spans="1:42" x14ac:dyDescent="0.2">
      <c r="A348" t="s">
        <v>191</v>
      </c>
      <c r="B348" t="s">
        <v>102</v>
      </c>
      <c r="C348" t="s">
        <v>395</v>
      </c>
      <c r="D348" t="s">
        <v>100</v>
      </c>
      <c r="E348" s="71">
        <v>7.2542106999999995E-2</v>
      </c>
      <c r="F348" s="71">
        <v>7.3571598000000002E-2</v>
      </c>
      <c r="G348" s="71">
        <v>7.6321398999999998E-2</v>
      </c>
      <c r="H348" s="71">
        <v>8.0679810000000005E-2</v>
      </c>
      <c r="I348" s="71">
        <v>8.3888447000000005E-2</v>
      </c>
      <c r="J348" s="71">
        <v>8.6143648000000003E-2</v>
      </c>
      <c r="K348" s="71">
        <v>8.7752616000000006E-2</v>
      </c>
      <c r="L348" s="71">
        <v>3.5190394E-2</v>
      </c>
      <c r="M348" s="71">
        <v>3.9962744000000001E-2</v>
      </c>
      <c r="N348" s="71">
        <v>4.5583232000000001E-2</v>
      </c>
      <c r="O348" s="71">
        <v>5.2534024999999998E-2</v>
      </c>
      <c r="P348" s="71">
        <v>5.7568284999999997E-2</v>
      </c>
      <c r="Q348" s="71">
        <v>6.1659508000000002E-2</v>
      </c>
      <c r="R348" s="71">
        <v>6.4842126E-2</v>
      </c>
      <c r="S348" s="71">
        <v>0.11134562100000001</v>
      </c>
      <c r="T348" s="71">
        <v>0.108336106</v>
      </c>
      <c r="U348" s="71">
        <v>0.10832839499999999</v>
      </c>
      <c r="V348" s="71">
        <v>0.10915525500000001</v>
      </c>
      <c r="W348" s="71">
        <v>0.110600803</v>
      </c>
      <c r="X348" s="71">
        <v>0.110663628</v>
      </c>
      <c r="Y348" s="71">
        <v>0.110576542</v>
      </c>
      <c r="Z348" s="71">
        <v>5.0202322000000001E-2</v>
      </c>
      <c r="AA348" s="71">
        <v>5.0756801999999997E-2</v>
      </c>
      <c r="AB348" s="71">
        <v>5.3836557E-2</v>
      </c>
      <c r="AC348" s="71">
        <v>5.9596740000000002E-2</v>
      </c>
      <c r="AD348" s="71">
        <v>6.3131128999999994E-2</v>
      </c>
      <c r="AE348" s="71">
        <v>6.5666528000000002E-2</v>
      </c>
      <c r="AF348" s="71">
        <v>6.8346287000000006E-2</v>
      </c>
      <c r="AG348" s="71">
        <v>9.5362409999999995E-2</v>
      </c>
      <c r="AH348" s="71">
        <v>9.6887373999999998E-2</v>
      </c>
      <c r="AI348" s="71">
        <v>9.9291387999999994E-2</v>
      </c>
      <c r="AJ348" s="71">
        <v>0.102187267</v>
      </c>
      <c r="AK348" s="71">
        <v>0.105055551</v>
      </c>
      <c r="AL348" s="71">
        <v>0.107018601</v>
      </c>
      <c r="AM348" s="71">
        <v>0.10751540399999999</v>
      </c>
      <c r="AN348" s="71">
        <v>9.5162174000000002E-2</v>
      </c>
      <c r="AO348" s="71">
        <v>0.23746576999999999</v>
      </c>
      <c r="AP348" s="71">
        <v>0.59509981199999995</v>
      </c>
    </row>
    <row r="349" spans="1:42" x14ac:dyDescent="0.2">
      <c r="A349" t="s">
        <v>254</v>
      </c>
      <c r="B349" t="s">
        <v>102</v>
      </c>
      <c r="C349" t="s">
        <v>395</v>
      </c>
      <c r="D349" t="s">
        <v>100</v>
      </c>
      <c r="E349" s="71">
        <v>4.9594437999999998E-2</v>
      </c>
      <c r="F349" s="71">
        <v>5.1675354999999999E-2</v>
      </c>
      <c r="G349" s="71">
        <v>5.6395089000000002E-2</v>
      </c>
      <c r="H349" s="71">
        <v>6.2560713000000004E-2</v>
      </c>
      <c r="I349" s="71">
        <v>6.6448127999999995E-2</v>
      </c>
      <c r="J349" s="71">
        <v>6.8961060000000005E-2</v>
      </c>
      <c r="K349" s="71">
        <v>7.0679819000000005E-2</v>
      </c>
      <c r="L349" s="71">
        <v>1.1511863000000001E-2</v>
      </c>
      <c r="M349" s="71">
        <v>1.7875760000000001E-2</v>
      </c>
      <c r="N349" s="71">
        <v>2.5068559000000001E-2</v>
      </c>
      <c r="O349" s="71">
        <v>3.4204226999999997E-2</v>
      </c>
      <c r="P349" s="71">
        <v>3.9954226000000002E-2</v>
      </c>
      <c r="Q349" s="71">
        <v>4.4265983000000002E-2</v>
      </c>
      <c r="R349" s="71">
        <v>4.7357742000000001E-2</v>
      </c>
      <c r="S349" s="71">
        <v>8.9374514000000002E-2</v>
      </c>
      <c r="T349" s="71">
        <v>8.6870817000000003E-2</v>
      </c>
      <c r="U349" s="71">
        <v>8.8807734999999999E-2</v>
      </c>
      <c r="V349" s="71">
        <v>9.1830027999999994E-2</v>
      </c>
      <c r="W349" s="71">
        <v>9.3934722999999998E-2</v>
      </c>
      <c r="X349" s="71">
        <v>9.4781931999999999E-2</v>
      </c>
      <c r="Y349" s="71">
        <v>9.4599098000000006E-2</v>
      </c>
      <c r="Z349" s="71">
        <v>2.7324707E-2</v>
      </c>
      <c r="AA349" s="71">
        <v>2.9167201E-2</v>
      </c>
      <c r="AB349" s="71">
        <v>3.3000532999999999E-2</v>
      </c>
      <c r="AC349" s="71">
        <v>4.0055384999999999E-2</v>
      </c>
      <c r="AD349" s="71">
        <v>4.5048505000000003E-2</v>
      </c>
      <c r="AE349" s="71">
        <v>4.7786228E-2</v>
      </c>
      <c r="AF349" s="71">
        <v>5.0455122999999998E-2</v>
      </c>
      <c r="AG349" s="71">
        <v>7.2352795999999997E-2</v>
      </c>
      <c r="AH349" s="71">
        <v>7.4681589000000007E-2</v>
      </c>
      <c r="AI349" s="71">
        <v>8.0325677999999998E-2</v>
      </c>
      <c r="AJ349" s="71">
        <v>8.5558635999999993E-2</v>
      </c>
      <c r="AK349" s="71">
        <v>8.8291159999999994E-2</v>
      </c>
      <c r="AL349" s="71">
        <v>9.0568765999999995E-2</v>
      </c>
      <c r="AM349" s="71">
        <v>9.1298485999999998E-2</v>
      </c>
      <c r="AN349" s="71">
        <v>0.103191984</v>
      </c>
      <c r="AO349" s="71">
        <v>2.1513379999999999E-2</v>
      </c>
      <c r="AP349" s="71">
        <v>0.74876793900000005</v>
      </c>
    </row>
    <row r="350" spans="1:42" x14ac:dyDescent="0.2">
      <c r="A350" t="s">
        <v>103</v>
      </c>
      <c r="B350" t="s">
        <v>102</v>
      </c>
      <c r="C350" t="s">
        <v>395</v>
      </c>
      <c r="D350" t="s">
        <v>100</v>
      </c>
      <c r="E350" s="71">
        <v>8.3436762999999997E-2</v>
      </c>
      <c r="F350" s="71">
        <v>8.4162628000000003E-2</v>
      </c>
      <c r="G350" s="71">
        <v>8.6083804999999999E-2</v>
      </c>
      <c r="H350" s="71">
        <v>8.9117323999999998E-2</v>
      </c>
      <c r="I350" s="71">
        <v>9.1355240000000004E-2</v>
      </c>
      <c r="J350" s="71">
        <v>9.2933452E-2</v>
      </c>
      <c r="K350" s="71">
        <v>9.4062363999999996E-2</v>
      </c>
      <c r="L350" s="71">
        <v>3.2082549000000002E-2</v>
      </c>
      <c r="M350" s="71">
        <v>3.8026612000000001E-2</v>
      </c>
      <c r="N350" s="71">
        <v>4.4564173999999998E-2</v>
      </c>
      <c r="O350" s="71">
        <v>5.2453092E-2</v>
      </c>
      <c r="P350" s="71">
        <v>5.7723934999999997E-2</v>
      </c>
      <c r="Q350" s="71">
        <v>6.1457493000000002E-2</v>
      </c>
      <c r="R350" s="71">
        <v>6.4832114999999996E-2</v>
      </c>
      <c r="S350" s="71">
        <v>0.137229401</v>
      </c>
      <c r="T350" s="71">
        <v>0.13122857399999999</v>
      </c>
      <c r="U350" s="71">
        <v>0.12930603399999999</v>
      </c>
      <c r="V350" s="71">
        <v>0.12756594199999999</v>
      </c>
      <c r="W350" s="71">
        <v>0.12644319300000001</v>
      </c>
      <c r="X350" s="71">
        <v>0.12526667799999999</v>
      </c>
      <c r="Y350" s="71">
        <v>0.12386678600000001</v>
      </c>
      <c r="Z350" s="71">
        <v>5.4358193999999999E-2</v>
      </c>
      <c r="AA350" s="71">
        <v>5.6666960000000002E-2</v>
      </c>
      <c r="AB350" s="71">
        <v>5.8862672999999997E-2</v>
      </c>
      <c r="AC350" s="71">
        <v>6.2201727999999998E-2</v>
      </c>
      <c r="AD350" s="71">
        <v>6.6179363000000005E-2</v>
      </c>
      <c r="AE350" s="71">
        <v>6.8049618000000006E-2</v>
      </c>
      <c r="AF350" s="71">
        <v>7.1288738000000004E-2</v>
      </c>
      <c r="AG350" s="71">
        <v>0.11332640300000001</v>
      </c>
      <c r="AH350" s="71">
        <v>0.11238192800000001</v>
      </c>
      <c r="AI350" s="71">
        <v>0.114012825</v>
      </c>
      <c r="AJ350" s="71">
        <v>0.116722666</v>
      </c>
      <c r="AK350" s="71">
        <v>0.117132205</v>
      </c>
      <c r="AL350" s="71">
        <v>0.118403838</v>
      </c>
      <c r="AM350" s="71">
        <v>0.117325832</v>
      </c>
      <c r="AN350" s="71">
        <v>0.13406492</v>
      </c>
      <c r="AO350" s="71">
        <v>9.9863100999999996E-2</v>
      </c>
      <c r="AP350" s="71">
        <v>0.74259952600000001</v>
      </c>
    </row>
    <row r="351" spans="1:42" x14ac:dyDescent="0.2">
      <c r="A351" t="s">
        <v>214</v>
      </c>
      <c r="B351" t="s">
        <v>102</v>
      </c>
      <c r="C351" t="s">
        <v>395</v>
      </c>
      <c r="D351" t="s">
        <v>100</v>
      </c>
      <c r="E351" s="71">
        <v>6.5055525000000003E-2</v>
      </c>
      <c r="F351" s="71">
        <v>6.5151369000000001E-2</v>
      </c>
      <c r="G351" s="71">
        <v>6.5420424000000005E-2</v>
      </c>
      <c r="H351" s="71">
        <v>6.5888440000000006E-2</v>
      </c>
      <c r="I351" s="71">
        <v>6.6273248000000007E-2</v>
      </c>
      <c r="J351" s="71">
        <v>6.6568647999999994E-2</v>
      </c>
      <c r="K351" s="71">
        <v>6.6793000000000005E-2</v>
      </c>
      <c r="L351" s="71">
        <v>3.2515914999999999E-2</v>
      </c>
      <c r="M351" s="71">
        <v>3.5598100000000001E-2</v>
      </c>
      <c r="N351" s="71">
        <v>3.8081722999999998E-2</v>
      </c>
      <c r="O351" s="71">
        <v>4.0083555999999999E-2</v>
      </c>
      <c r="P351" s="71">
        <v>4.2030484999999999E-2</v>
      </c>
      <c r="Q351" s="71">
        <v>4.3840922999999997E-2</v>
      </c>
      <c r="R351" s="71">
        <v>4.5055286E-2</v>
      </c>
      <c r="S351" s="71">
        <v>9.8393615000000004E-2</v>
      </c>
      <c r="T351" s="71">
        <v>9.5327841999999996E-2</v>
      </c>
      <c r="U351" s="71">
        <v>9.3694277000000006E-2</v>
      </c>
      <c r="V351" s="71">
        <v>9.2509993999999998E-2</v>
      </c>
      <c r="W351" s="71">
        <v>9.1094654999999997E-2</v>
      </c>
      <c r="X351" s="71">
        <v>8.9768739E-2</v>
      </c>
      <c r="Y351" s="71">
        <v>8.8983808999999997E-2</v>
      </c>
      <c r="Z351" s="71">
        <v>4.8471216999999997E-2</v>
      </c>
      <c r="AA351" s="71">
        <v>4.8798882000000002E-2</v>
      </c>
      <c r="AB351" s="71">
        <v>4.7263338000000002E-2</v>
      </c>
      <c r="AC351" s="71">
        <v>4.6640523000000003E-2</v>
      </c>
      <c r="AD351" s="71">
        <v>4.6869583999999999E-2</v>
      </c>
      <c r="AE351" s="71">
        <v>4.6713127E-2</v>
      </c>
      <c r="AF351" s="71">
        <v>4.8575584999999998E-2</v>
      </c>
      <c r="AG351" s="71">
        <v>8.1843536999999994E-2</v>
      </c>
      <c r="AH351" s="71">
        <v>8.1703759000000001E-2</v>
      </c>
      <c r="AI351" s="71">
        <v>8.3846409999999996E-2</v>
      </c>
      <c r="AJ351" s="71">
        <v>8.5456807999999995E-2</v>
      </c>
      <c r="AK351" s="71">
        <v>8.6011328999999997E-2</v>
      </c>
      <c r="AL351" s="71">
        <v>8.6781346999999995E-2</v>
      </c>
      <c r="AM351" s="71">
        <v>8.5310698000000004E-2</v>
      </c>
      <c r="AN351" s="71">
        <v>9.0355035E-2</v>
      </c>
      <c r="AO351" s="71">
        <v>0.15455144100000001</v>
      </c>
      <c r="AP351" s="71">
        <v>0.77466706699999999</v>
      </c>
    </row>
    <row r="352" spans="1:42" x14ac:dyDescent="0.2">
      <c r="A352" t="s">
        <v>164</v>
      </c>
      <c r="B352" t="s">
        <v>102</v>
      </c>
      <c r="C352" t="s">
        <v>395</v>
      </c>
      <c r="D352" t="s">
        <v>100</v>
      </c>
      <c r="E352" s="71">
        <v>4.4081842000000003E-2</v>
      </c>
      <c r="F352" s="71">
        <v>4.5213138999999999E-2</v>
      </c>
      <c r="G352" s="71">
        <v>4.8026477999999997E-2</v>
      </c>
      <c r="H352" s="71">
        <v>5.2219307E-2</v>
      </c>
      <c r="I352" s="71">
        <v>5.5227552999999999E-2</v>
      </c>
      <c r="J352" s="71">
        <v>5.734471E-2</v>
      </c>
      <c r="K352" s="71">
        <v>5.8869158999999997E-2</v>
      </c>
      <c r="L352" s="71">
        <v>1.7531295999999998E-2</v>
      </c>
      <c r="M352" s="71">
        <v>2.0461698E-2</v>
      </c>
      <c r="N352" s="71">
        <v>2.4939065E-2</v>
      </c>
      <c r="O352" s="71">
        <v>3.0656353000000001E-2</v>
      </c>
      <c r="P352" s="71">
        <v>3.4503918000000001E-2</v>
      </c>
      <c r="Q352" s="71">
        <v>3.7683441999999998E-2</v>
      </c>
      <c r="R352" s="71">
        <v>4.0672765E-2</v>
      </c>
      <c r="S352" s="71">
        <v>7.1601124000000002E-2</v>
      </c>
      <c r="T352" s="71">
        <v>7.0259454999999998E-2</v>
      </c>
      <c r="U352" s="71">
        <v>7.1737695000000004E-2</v>
      </c>
      <c r="V352" s="71">
        <v>7.4534694999999998E-2</v>
      </c>
      <c r="W352" s="71">
        <v>7.6393160000000002E-2</v>
      </c>
      <c r="X352" s="71">
        <v>7.7058116999999995E-2</v>
      </c>
      <c r="Y352" s="71">
        <v>7.7578379000000003E-2</v>
      </c>
      <c r="Z352" s="71">
        <v>2.6850138999999999E-2</v>
      </c>
      <c r="AA352" s="71">
        <v>2.8157214999999999E-2</v>
      </c>
      <c r="AB352" s="71">
        <v>3.0676377000000001E-2</v>
      </c>
      <c r="AC352" s="71">
        <v>3.4445358000000002E-2</v>
      </c>
      <c r="AD352" s="71">
        <v>3.7735781000000003E-2</v>
      </c>
      <c r="AE352" s="71">
        <v>4.1057323999999999E-2</v>
      </c>
      <c r="AF352" s="71">
        <v>4.2966562E-2</v>
      </c>
      <c r="AG352" s="71">
        <v>6.1545895000000003E-2</v>
      </c>
      <c r="AH352" s="71">
        <v>6.2498414000000002E-2</v>
      </c>
      <c r="AI352" s="71">
        <v>6.5623326999999995E-2</v>
      </c>
      <c r="AJ352" s="71">
        <v>7.0265042999999999E-2</v>
      </c>
      <c r="AK352" s="71">
        <v>7.2988413000000002E-2</v>
      </c>
      <c r="AL352" s="71">
        <v>7.386624E-2</v>
      </c>
      <c r="AM352" s="71">
        <v>7.4997087000000004E-2</v>
      </c>
      <c r="AN352" s="71">
        <v>6.8071722000000001E-2</v>
      </c>
      <c r="AO352" s="71">
        <v>7.3298706000000005E-2</v>
      </c>
      <c r="AP352" s="71">
        <v>0.709160546</v>
      </c>
    </row>
    <row r="353" spans="1:42" x14ac:dyDescent="0.2">
      <c r="A353" t="s">
        <v>345</v>
      </c>
      <c r="B353" t="s">
        <v>102</v>
      </c>
      <c r="C353" t="s">
        <v>395</v>
      </c>
      <c r="D353" t="s">
        <v>100</v>
      </c>
      <c r="E353" s="71">
        <v>3.9042149999999998E-2</v>
      </c>
      <c r="F353" s="71">
        <v>4.1971122999999999E-2</v>
      </c>
      <c r="G353" s="71">
        <v>4.8980866999999997E-2</v>
      </c>
      <c r="H353" s="71">
        <v>5.8948314000000002E-2</v>
      </c>
      <c r="I353" s="71">
        <v>6.5763628000000005E-2</v>
      </c>
      <c r="J353" s="71">
        <v>7.0391809E-2</v>
      </c>
      <c r="K353" s="71">
        <v>7.3643600000000004E-2</v>
      </c>
      <c r="L353" s="71">
        <v>8.1799439999999998E-3</v>
      </c>
      <c r="M353" s="71">
        <v>1.3641098000000001E-2</v>
      </c>
      <c r="N353" s="71">
        <v>2.2622067999999999E-2</v>
      </c>
      <c r="O353" s="71">
        <v>3.4257787999999997E-2</v>
      </c>
      <c r="P353" s="71">
        <v>4.2280651000000002E-2</v>
      </c>
      <c r="Q353" s="71">
        <v>4.8851263999999998E-2</v>
      </c>
      <c r="R353" s="71">
        <v>5.3201463999999997E-2</v>
      </c>
      <c r="S353" s="71">
        <v>7.1432691000000006E-2</v>
      </c>
      <c r="T353" s="71">
        <v>7.1242533999999996E-2</v>
      </c>
      <c r="U353" s="71">
        <v>7.5858852000000004E-2</v>
      </c>
      <c r="V353" s="71">
        <v>8.3752188000000005E-2</v>
      </c>
      <c r="W353" s="71">
        <v>8.9273191000000002E-2</v>
      </c>
      <c r="X353" s="71">
        <v>9.2592593000000001E-2</v>
      </c>
      <c r="Y353" s="71">
        <v>9.4365096999999995E-2</v>
      </c>
      <c r="Z353" s="71">
        <v>1.9550831000000001E-2</v>
      </c>
      <c r="AA353" s="71">
        <v>2.272418E-2</v>
      </c>
      <c r="AB353" s="71">
        <v>2.9751178999999999E-2</v>
      </c>
      <c r="AC353" s="71">
        <v>4.0164953000000003E-2</v>
      </c>
      <c r="AD353" s="71">
        <v>4.7117003999999997E-2</v>
      </c>
      <c r="AE353" s="71">
        <v>5.2665239000000003E-2</v>
      </c>
      <c r="AF353" s="71">
        <v>5.5903565000000002E-2</v>
      </c>
      <c r="AG353" s="71">
        <v>5.8850279999999998E-2</v>
      </c>
      <c r="AH353" s="71">
        <v>6.1527599000000002E-2</v>
      </c>
      <c r="AI353" s="71">
        <v>6.8525138999999999E-2</v>
      </c>
      <c r="AJ353" s="71">
        <v>7.8037520999999999E-2</v>
      </c>
      <c r="AK353" s="71">
        <v>8.4716893000000001E-2</v>
      </c>
      <c r="AL353" s="71">
        <v>8.8396311000000005E-2</v>
      </c>
      <c r="AM353" s="71">
        <v>9.1664923999999995E-2</v>
      </c>
      <c r="AN353" s="71">
        <v>8.1660173000000003E-2</v>
      </c>
      <c r="AO353" s="71">
        <v>0.11876381900000001</v>
      </c>
      <c r="AP353" s="71">
        <v>0.69688396699999999</v>
      </c>
    </row>
    <row r="354" spans="1:42" x14ac:dyDescent="0.2">
      <c r="A354" t="s">
        <v>138</v>
      </c>
      <c r="B354" t="s">
        <v>102</v>
      </c>
      <c r="C354" t="s">
        <v>331</v>
      </c>
      <c r="D354" t="s">
        <v>139</v>
      </c>
      <c r="E354" s="71">
        <v>5.6599007999999999E-2</v>
      </c>
      <c r="F354" s="71">
        <v>5.7053672E-2</v>
      </c>
      <c r="G354" s="75">
        <v>5.8093535000000002E-2</v>
      </c>
      <c r="H354" s="71">
        <v>5.9432613000000002E-2</v>
      </c>
      <c r="I354" s="71">
        <v>6.0227619000000003E-2</v>
      </c>
      <c r="J354" s="71">
        <v>6.0696827000000002E-2</v>
      </c>
      <c r="K354" s="71">
        <v>6.0987102000000001E-2</v>
      </c>
      <c r="L354" s="71">
        <v>1.0612732999999999E-2</v>
      </c>
      <c r="M354" s="71">
        <v>1.4811502000000001E-2</v>
      </c>
      <c r="N354" s="71">
        <v>1.5623282E-2</v>
      </c>
      <c r="O354" s="71">
        <v>1.5703442000000001E-2</v>
      </c>
      <c r="P354" s="71">
        <v>1.7279453E-2</v>
      </c>
      <c r="Q354" s="71">
        <v>1.9635723000000001E-2</v>
      </c>
      <c r="R354" s="71">
        <v>2.1362121000000001E-2</v>
      </c>
      <c r="S354" s="71">
        <v>0.104713022</v>
      </c>
      <c r="T354" s="71">
        <v>0.10099256199999999</v>
      </c>
      <c r="U354" s="71">
        <v>0.10265495500000001</v>
      </c>
      <c r="V354" s="71">
        <v>0.10506510600000001</v>
      </c>
      <c r="W354" s="71">
        <v>0.104561249</v>
      </c>
      <c r="X354" s="71">
        <v>0.103930911</v>
      </c>
      <c r="Y354" s="71">
        <v>0.10298668</v>
      </c>
      <c r="Z354" s="71">
        <v>2.5139656E-2</v>
      </c>
      <c r="AA354" s="71">
        <v>2.4368730000000002E-2</v>
      </c>
      <c r="AB354" s="71">
        <v>2.2414093999999999E-2</v>
      </c>
      <c r="AC354" s="71">
        <v>1.7061112999999999E-2</v>
      </c>
      <c r="AD354" s="71">
        <v>1.8732136E-2</v>
      </c>
      <c r="AE354" s="71">
        <v>1.9395941999999999E-2</v>
      </c>
      <c r="AF354" s="71">
        <v>2.2521602000000002E-2</v>
      </c>
      <c r="AG354" s="71">
        <v>8.9031918000000002E-2</v>
      </c>
      <c r="AH354" s="71">
        <v>9.0790604999999996E-2</v>
      </c>
      <c r="AI354" s="71">
        <v>9.5028848999999999E-2</v>
      </c>
      <c r="AJ354" s="71">
        <v>0.103584285</v>
      </c>
      <c r="AK354" s="71">
        <v>0.103427936</v>
      </c>
      <c r="AL354" s="71">
        <v>0.103685344</v>
      </c>
      <c r="AM354" s="71">
        <v>0.10091207200000001</v>
      </c>
      <c r="AN354" s="71">
        <v>0.10817866199999999</v>
      </c>
      <c r="AO354" s="71">
        <v>0.25071971999999998</v>
      </c>
      <c r="AP354" s="71">
        <v>0.625149336</v>
      </c>
    </row>
    <row r="355" spans="1:42" x14ac:dyDescent="0.2">
      <c r="A355" t="s">
        <v>240</v>
      </c>
      <c r="B355" t="s">
        <v>102</v>
      </c>
      <c r="C355" t="s">
        <v>331</v>
      </c>
      <c r="D355" t="s">
        <v>139</v>
      </c>
      <c r="E355" s="71">
        <v>4.2135941000000003E-2</v>
      </c>
      <c r="F355" s="71">
        <v>4.2690740999999997E-2</v>
      </c>
      <c r="G355" s="71">
        <v>4.4027314999999997E-2</v>
      </c>
      <c r="H355" s="71">
        <v>4.5923458E-2</v>
      </c>
      <c r="I355" s="71">
        <v>4.7213302999999998E-2</v>
      </c>
      <c r="J355" s="71">
        <v>4.8085796E-2</v>
      </c>
      <c r="K355" s="71">
        <v>4.8696982E-2</v>
      </c>
      <c r="L355" s="71">
        <v>-5.5174830000000001E-3</v>
      </c>
      <c r="M355" s="71">
        <v>-2.4373060000000002E-3</v>
      </c>
      <c r="N355" s="71">
        <v>-1.262577E-3</v>
      </c>
      <c r="O355" s="71">
        <v>1.1113290000000001E-3</v>
      </c>
      <c r="P355" s="71">
        <v>2.749633E-3</v>
      </c>
      <c r="Q355" s="71">
        <v>4.4308619999999998E-3</v>
      </c>
      <c r="R355" s="71">
        <v>7.3532720000000001E-3</v>
      </c>
      <c r="S355" s="71">
        <v>9.2983785999999999E-2</v>
      </c>
      <c r="T355" s="71">
        <v>8.9978619999999995E-2</v>
      </c>
      <c r="U355" s="71">
        <v>9.0280640999999995E-2</v>
      </c>
      <c r="V355" s="71">
        <v>9.2716716000000005E-2</v>
      </c>
      <c r="W355" s="71">
        <v>9.4017605000000004E-2</v>
      </c>
      <c r="X355" s="71">
        <v>9.3109964000000003E-2</v>
      </c>
      <c r="Y355" s="71">
        <v>9.2637269999999994E-2</v>
      </c>
      <c r="Z355" s="71">
        <v>8.366488E-3</v>
      </c>
      <c r="AA355" s="71">
        <v>8.0768049999999994E-3</v>
      </c>
      <c r="AB355" s="71">
        <v>6.7385530000000004E-3</v>
      </c>
      <c r="AC355" s="71">
        <v>6.2820300000000001E-3</v>
      </c>
      <c r="AD355" s="71">
        <v>7.1728520000000004E-3</v>
      </c>
      <c r="AE355" s="71">
        <v>7.7346079999999996E-3</v>
      </c>
      <c r="AF355" s="71">
        <v>9.7550250000000005E-3</v>
      </c>
      <c r="AG355" s="71">
        <v>7.7046137000000001E-2</v>
      </c>
      <c r="AH355" s="71">
        <v>7.8503582000000002E-2</v>
      </c>
      <c r="AI355" s="71">
        <v>8.2709241000000003E-2</v>
      </c>
      <c r="AJ355" s="71">
        <v>8.7139966999999999E-2</v>
      </c>
      <c r="AK355" s="71">
        <v>8.8859446999999994E-2</v>
      </c>
      <c r="AL355" s="71">
        <v>9.0066653999999996E-2</v>
      </c>
      <c r="AM355" s="71">
        <v>8.9153729000000001E-2</v>
      </c>
      <c r="AN355" s="71">
        <v>0.117077193</v>
      </c>
      <c r="AO355" s="71">
        <v>-2.7445480000000001E-2</v>
      </c>
      <c r="AP355" s="71">
        <v>0.41088964</v>
      </c>
    </row>
    <row r="356" spans="1:42" x14ac:dyDescent="0.2">
      <c r="A356" t="s">
        <v>224</v>
      </c>
      <c r="B356" t="s">
        <v>102</v>
      </c>
      <c r="C356" t="s">
        <v>331</v>
      </c>
      <c r="D356" t="s">
        <v>139</v>
      </c>
      <c r="E356" s="71">
        <v>4.6338664000000002E-2</v>
      </c>
      <c r="F356" s="71">
        <v>4.6977984E-2</v>
      </c>
      <c r="G356" s="71">
        <v>4.8404084E-2</v>
      </c>
      <c r="H356" s="71">
        <v>5.0147282000000001E-2</v>
      </c>
      <c r="I356" s="71">
        <v>5.1094756999999998E-2</v>
      </c>
      <c r="J356" s="71">
        <v>5.1593528999999999E-2</v>
      </c>
      <c r="K356" s="71">
        <v>5.1863419000000001E-2</v>
      </c>
      <c r="L356" s="71">
        <v>-2.4828950000000002E-3</v>
      </c>
      <c r="M356" s="71">
        <v>1.3901460000000001E-3</v>
      </c>
      <c r="N356" s="71">
        <v>3.842205E-3</v>
      </c>
      <c r="O356" s="71">
        <v>5.3045169999999999E-3</v>
      </c>
      <c r="P356" s="71">
        <v>7.9370880000000001E-3</v>
      </c>
      <c r="Q356" s="71">
        <v>1.1119837E-2</v>
      </c>
      <c r="R356" s="71">
        <v>1.3421562E-2</v>
      </c>
      <c r="S356" s="71">
        <v>9.8020718000000007E-2</v>
      </c>
      <c r="T356" s="71">
        <v>9.5413384000000004E-2</v>
      </c>
      <c r="U356" s="71">
        <v>9.5358255000000003E-2</v>
      </c>
      <c r="V356" s="71">
        <v>9.6456574000000003E-2</v>
      </c>
      <c r="W356" s="71">
        <v>9.5570662000000001E-2</v>
      </c>
      <c r="X356" s="71">
        <v>9.3213200999999996E-2</v>
      </c>
      <c r="Y356" s="71">
        <v>9.1633674999999998E-2</v>
      </c>
      <c r="Z356" s="71">
        <v>1.2732195E-2</v>
      </c>
      <c r="AA356" s="71">
        <v>1.1783129999999999E-2</v>
      </c>
      <c r="AB356" s="71">
        <v>1.2919615000000001E-2</v>
      </c>
      <c r="AC356" s="71">
        <v>8.8883850000000004E-3</v>
      </c>
      <c r="AD356" s="71">
        <v>1.0523252E-2</v>
      </c>
      <c r="AE356" s="71">
        <v>1.2417772000000001E-2</v>
      </c>
      <c r="AF356" s="71">
        <v>1.6357469999999999E-2</v>
      </c>
      <c r="AG356" s="71">
        <v>8.1069941000000006E-2</v>
      </c>
      <c r="AH356" s="71">
        <v>8.3407841999999996E-2</v>
      </c>
      <c r="AI356" s="71">
        <v>8.5142343999999995E-2</v>
      </c>
      <c r="AJ356" s="71">
        <v>9.3108160999999995E-2</v>
      </c>
      <c r="AK356" s="71">
        <v>9.3309272999999998E-2</v>
      </c>
      <c r="AL356" s="71">
        <v>9.2298305999999997E-2</v>
      </c>
      <c r="AM356" s="71">
        <v>8.8620507000000001E-2</v>
      </c>
      <c r="AN356" s="71">
        <v>0.115310285</v>
      </c>
      <c r="AO356" s="71">
        <v>0.14749748700000001</v>
      </c>
      <c r="AP356" s="71">
        <v>0.39206254299999999</v>
      </c>
    </row>
    <row r="357" spans="1:42" x14ac:dyDescent="0.2">
      <c r="A357" t="s">
        <v>200</v>
      </c>
      <c r="B357" t="s">
        <v>102</v>
      </c>
      <c r="C357" t="s">
        <v>331</v>
      </c>
      <c r="D357" t="s">
        <v>139</v>
      </c>
      <c r="E357" s="71">
        <v>2.2139655000000001E-2</v>
      </c>
      <c r="F357" s="71">
        <v>2.3365245999999999E-2</v>
      </c>
      <c r="G357" s="71">
        <v>2.6139485E-2</v>
      </c>
      <c r="H357" s="71">
        <v>2.9830800000000001E-2</v>
      </c>
      <c r="I357" s="71">
        <v>3.2240735E-2</v>
      </c>
      <c r="J357" s="71">
        <v>3.3843146999999997E-2</v>
      </c>
      <c r="K357" s="71">
        <v>3.4957992E-2</v>
      </c>
      <c r="L357" s="71">
        <v>-3.0367854999999999E-2</v>
      </c>
      <c r="M357" s="71">
        <v>-2.4486019000000001E-2</v>
      </c>
      <c r="N357" s="71">
        <v>-2.0923588E-2</v>
      </c>
      <c r="O357" s="71">
        <v>-1.5547482E-2</v>
      </c>
      <c r="P357" s="71">
        <v>-1.1631732000000001E-2</v>
      </c>
      <c r="Q357" s="71">
        <v>-8.1065789999999992E-3</v>
      </c>
      <c r="R357" s="71">
        <v>-5.1600969999999998E-3</v>
      </c>
      <c r="S357" s="71">
        <v>7.7796580000000004E-2</v>
      </c>
      <c r="T357" s="71">
        <v>7.4485369999999995E-2</v>
      </c>
      <c r="U357" s="71">
        <v>7.5636484000000004E-2</v>
      </c>
      <c r="V357" s="71">
        <v>7.8362473000000002E-2</v>
      </c>
      <c r="W357" s="71">
        <v>7.7554898999999997E-2</v>
      </c>
      <c r="X357" s="71">
        <v>7.7477219E-2</v>
      </c>
      <c r="Y357" s="71">
        <v>7.6374835000000002E-2</v>
      </c>
      <c r="Z357" s="71">
        <v>-1.2420949000000001E-2</v>
      </c>
      <c r="AA357" s="71">
        <v>-1.0660909999999999E-2</v>
      </c>
      <c r="AB357" s="71">
        <v>-9.7808740000000002E-3</v>
      </c>
      <c r="AC357" s="71">
        <v>-8.970993E-3</v>
      </c>
      <c r="AD357" s="71">
        <v>-7.2848840000000002E-3</v>
      </c>
      <c r="AE357" s="71">
        <v>-2.2070129999999999E-3</v>
      </c>
      <c r="AF357" s="71">
        <v>-1.1264789999999999E-3</v>
      </c>
      <c r="AG357" s="71">
        <v>5.7920548000000002E-2</v>
      </c>
      <c r="AH357" s="71">
        <v>5.8572016999999997E-2</v>
      </c>
      <c r="AI357" s="71">
        <v>6.3374297999999996E-2</v>
      </c>
      <c r="AJ357" s="71">
        <v>7.0165430000000001E-2</v>
      </c>
      <c r="AK357" s="71">
        <v>7.3354143999999996E-2</v>
      </c>
      <c r="AL357" s="71">
        <v>7.1207171E-2</v>
      </c>
      <c r="AM357" s="71">
        <v>7.2357445000000006E-2</v>
      </c>
      <c r="AN357" s="71">
        <v>0.13640451200000001</v>
      </c>
      <c r="AO357" s="71">
        <v>-0.16112057099999999</v>
      </c>
      <c r="AP357" s="71">
        <v>0.61160377399999999</v>
      </c>
    </row>
    <row r="358" spans="1:42" x14ac:dyDescent="0.2">
      <c r="A358" t="s">
        <v>259</v>
      </c>
      <c r="B358" t="s">
        <v>102</v>
      </c>
      <c r="C358" t="s">
        <v>331</v>
      </c>
      <c r="D358" t="s">
        <v>139</v>
      </c>
      <c r="E358" s="71">
        <v>4.5548186999999997E-2</v>
      </c>
      <c r="F358" s="71">
        <v>4.5868025999999999E-2</v>
      </c>
      <c r="G358" s="71">
        <v>4.6410427999999997E-2</v>
      </c>
      <c r="H358" s="71">
        <v>4.6783195999999999E-2</v>
      </c>
      <c r="I358" s="71">
        <v>4.6819197E-2</v>
      </c>
      <c r="J358" s="71">
        <v>4.6765553000000001E-2</v>
      </c>
      <c r="K358" s="71">
        <v>4.6701060000000003E-2</v>
      </c>
      <c r="L358" s="71">
        <v>-4.5086359999999999E-3</v>
      </c>
      <c r="M358" s="71">
        <v>-2.9068E-5</v>
      </c>
      <c r="N358" s="71">
        <v>1.3048420000000001E-3</v>
      </c>
      <c r="O358" s="71">
        <v>2.1284450000000001E-3</v>
      </c>
      <c r="P358" s="71">
        <v>3.6295799999999999E-3</v>
      </c>
      <c r="Q358" s="71">
        <v>4.7998759999999998E-3</v>
      </c>
      <c r="R358" s="71">
        <v>6.8082309999999997E-3</v>
      </c>
      <c r="S358" s="71">
        <v>9.8993853000000007E-2</v>
      </c>
      <c r="T358" s="71">
        <v>9.4298376000000003E-2</v>
      </c>
      <c r="U358" s="71">
        <v>9.3565783999999999E-2</v>
      </c>
      <c r="V358" s="71">
        <v>9.2972462000000006E-2</v>
      </c>
      <c r="W358" s="71">
        <v>9.1834424999999997E-2</v>
      </c>
      <c r="X358" s="71">
        <v>8.9445423999999996E-2</v>
      </c>
      <c r="Y358" s="71">
        <v>8.7323012000000005E-2</v>
      </c>
      <c r="Z358" s="71">
        <v>9.9968599999999998E-3</v>
      </c>
      <c r="AA358" s="71">
        <v>1.1447367E-2</v>
      </c>
      <c r="AB358" s="71">
        <v>8.6001940000000002E-3</v>
      </c>
      <c r="AC358" s="71">
        <v>7.2460850000000002E-3</v>
      </c>
      <c r="AD358" s="71">
        <v>8.7415789999999993E-3</v>
      </c>
      <c r="AE358" s="71">
        <v>9.6837199999999998E-3</v>
      </c>
      <c r="AF358" s="71">
        <v>9.9414259999999997E-3</v>
      </c>
      <c r="AG358" s="71">
        <v>8.2361684000000004E-2</v>
      </c>
      <c r="AH358" s="71">
        <v>8.1470111999999997E-2</v>
      </c>
      <c r="AI358" s="71">
        <v>8.5650527000000004E-2</v>
      </c>
      <c r="AJ358" s="71">
        <v>8.7885742000000003E-2</v>
      </c>
      <c r="AK358" s="71">
        <v>8.6346673999999998E-2</v>
      </c>
      <c r="AL358" s="71">
        <v>8.5220982000000001E-2</v>
      </c>
      <c r="AM358" s="71">
        <v>8.4810090000000005E-2</v>
      </c>
      <c r="AN358" s="71">
        <v>0.121024413</v>
      </c>
      <c r="AO358" s="71">
        <v>-3.9477454000000002E-2</v>
      </c>
      <c r="AP358" s="71">
        <v>0.49065833399999997</v>
      </c>
    </row>
    <row r="359" spans="1:42" x14ac:dyDescent="0.2">
      <c r="A359" t="s">
        <v>288</v>
      </c>
      <c r="B359" t="s">
        <v>102</v>
      </c>
      <c r="C359" t="s">
        <v>331</v>
      </c>
      <c r="D359" t="s">
        <v>139</v>
      </c>
      <c r="E359" s="71">
        <v>5.3794252000000001E-2</v>
      </c>
      <c r="F359" s="71">
        <v>5.4556713999999999E-2</v>
      </c>
      <c r="G359" s="71">
        <v>5.6383716E-2</v>
      </c>
      <c r="H359" s="71">
        <v>5.8966504000000003E-2</v>
      </c>
      <c r="I359" s="71">
        <v>6.0721145999999997E-2</v>
      </c>
      <c r="J359" s="71">
        <v>6.1907636000000002E-2</v>
      </c>
      <c r="K359" s="71">
        <v>6.2738881999999996E-2</v>
      </c>
      <c r="L359" s="71">
        <v>5.0898109999999996E-3</v>
      </c>
      <c r="M359" s="71">
        <v>8.9018180000000006E-3</v>
      </c>
      <c r="N359" s="71">
        <v>1.0490292999999999E-2</v>
      </c>
      <c r="O359" s="71">
        <v>1.3456729000000001E-2</v>
      </c>
      <c r="P359" s="71">
        <v>1.7939449999999999E-2</v>
      </c>
      <c r="Q359" s="71">
        <v>2.1653978000000001E-2</v>
      </c>
      <c r="R359" s="71">
        <v>2.4250714999999999E-2</v>
      </c>
      <c r="S359" s="71">
        <v>0.104624548</v>
      </c>
      <c r="T359" s="71">
        <v>0.102312651</v>
      </c>
      <c r="U359" s="71">
        <v>0.104043012</v>
      </c>
      <c r="V359" s="71">
        <v>0.10687187300000001</v>
      </c>
      <c r="W359" s="71">
        <v>0.10585808200000001</v>
      </c>
      <c r="X359" s="71">
        <v>0.104243874</v>
      </c>
      <c r="Y359" s="71">
        <v>0.102704604</v>
      </c>
      <c r="Z359" s="71">
        <v>1.9045485000000001E-2</v>
      </c>
      <c r="AA359" s="71">
        <v>1.9367634000000002E-2</v>
      </c>
      <c r="AB359" s="71">
        <v>1.7044258999999999E-2</v>
      </c>
      <c r="AC359" s="71">
        <v>1.9042280000000002E-2</v>
      </c>
      <c r="AD359" s="71">
        <v>1.9963127000000001E-2</v>
      </c>
      <c r="AE359" s="71">
        <v>2.3475281000000001E-2</v>
      </c>
      <c r="AF359" s="71">
        <v>2.6045372000000001E-2</v>
      </c>
      <c r="AG359" s="71">
        <v>8.973797E-2</v>
      </c>
      <c r="AH359" s="71">
        <v>9.0970951999999994E-2</v>
      </c>
      <c r="AI359" s="71">
        <v>9.7258128999999999E-2</v>
      </c>
      <c r="AJ359" s="71">
        <v>0.100468354</v>
      </c>
      <c r="AK359" s="71">
        <v>0.10312188999999999</v>
      </c>
      <c r="AL359" s="71">
        <v>0.101795524</v>
      </c>
      <c r="AM359" s="71">
        <v>0.100755917</v>
      </c>
      <c r="AN359" s="71">
        <v>0.11437557700000001</v>
      </c>
      <c r="AO359" s="71">
        <v>0.110247741</v>
      </c>
      <c r="AP359" s="71">
        <v>0.52400113599999998</v>
      </c>
    </row>
    <row r="360" spans="1:42" x14ac:dyDescent="0.2">
      <c r="A360" t="s">
        <v>272</v>
      </c>
      <c r="B360" t="s">
        <v>102</v>
      </c>
      <c r="C360" t="s">
        <v>331</v>
      </c>
      <c r="D360" t="s">
        <v>139</v>
      </c>
      <c r="E360" s="71">
        <v>3.7584648999999998E-2</v>
      </c>
      <c r="F360" s="71">
        <v>3.9060578999999998E-2</v>
      </c>
      <c r="G360" s="71">
        <v>4.2503581999999998E-2</v>
      </c>
      <c r="H360" s="71">
        <v>4.7203170000000003E-2</v>
      </c>
      <c r="I360" s="71">
        <v>5.0305473000000003E-2</v>
      </c>
      <c r="J360" s="71">
        <v>5.2372203999999999E-2</v>
      </c>
      <c r="K360" s="71">
        <v>5.3810226000000003E-2</v>
      </c>
      <c r="L360" s="71">
        <v>-6.828832E-3</v>
      </c>
      <c r="M360" s="71">
        <v>-2.642681E-3</v>
      </c>
      <c r="N360" s="71">
        <v>6.0967900000000002E-4</v>
      </c>
      <c r="O360" s="71">
        <v>5.596251E-3</v>
      </c>
      <c r="P360" s="71">
        <v>9.3409019999999999E-3</v>
      </c>
      <c r="Q360" s="71">
        <v>1.2766223E-2</v>
      </c>
      <c r="R360" s="71">
        <v>1.6324813000000001E-2</v>
      </c>
      <c r="S360" s="71">
        <v>8.4637164000000001E-2</v>
      </c>
      <c r="T360" s="71">
        <v>8.2385996000000003E-2</v>
      </c>
      <c r="U360" s="71">
        <v>8.6314559999999999E-2</v>
      </c>
      <c r="V360" s="71">
        <v>9.1413025999999994E-2</v>
      </c>
      <c r="W360" s="71">
        <v>9.3225630000000004E-2</v>
      </c>
      <c r="X360" s="71">
        <v>9.3145367000000007E-2</v>
      </c>
      <c r="Y360" s="71">
        <v>9.2342560000000004E-2</v>
      </c>
      <c r="Z360" s="71">
        <v>4.0124560000000002E-3</v>
      </c>
      <c r="AA360" s="71">
        <v>6.1297859999999999E-3</v>
      </c>
      <c r="AB360" s="71">
        <v>5.5016570000000001E-3</v>
      </c>
      <c r="AC360" s="71">
        <v>7.5788169999999998E-3</v>
      </c>
      <c r="AD360" s="71">
        <v>1.1607114999999999E-2</v>
      </c>
      <c r="AE360" s="71">
        <v>1.6953019E-2</v>
      </c>
      <c r="AF360" s="71">
        <v>1.8849903000000001E-2</v>
      </c>
      <c r="AG360" s="71">
        <v>7.2289120999999998E-2</v>
      </c>
      <c r="AH360" s="71">
        <v>7.3078594999999996E-2</v>
      </c>
      <c r="AI360" s="71">
        <v>8.0879036000000001E-2</v>
      </c>
      <c r="AJ360" s="71">
        <v>8.8399432999999999E-2</v>
      </c>
      <c r="AK360" s="71">
        <v>9.0497109000000006E-2</v>
      </c>
      <c r="AL360" s="71">
        <v>8.9035677999999993E-2</v>
      </c>
      <c r="AM360" s="71">
        <v>8.9980422000000004E-2</v>
      </c>
      <c r="AN360" s="71">
        <v>0.10096771</v>
      </c>
      <c r="AO360" s="71">
        <v>0.23908819000000001</v>
      </c>
      <c r="AP360" s="71">
        <v>0.50481197600000005</v>
      </c>
    </row>
    <row r="361" spans="1:42" x14ac:dyDescent="0.2">
      <c r="A361" t="s">
        <v>138</v>
      </c>
      <c r="B361" t="s">
        <v>102</v>
      </c>
      <c r="C361" t="s">
        <v>104</v>
      </c>
      <c r="D361" t="s">
        <v>100</v>
      </c>
      <c r="E361" s="71">
        <v>0.10795843400000001</v>
      </c>
      <c r="F361" s="71">
        <v>0.10701835</v>
      </c>
      <c r="G361" s="75">
        <v>0.104702114</v>
      </c>
      <c r="H361" s="71">
        <v>0.101291774</v>
      </c>
      <c r="I361" s="71">
        <v>9.8864076999999995E-2</v>
      </c>
      <c r="J361" s="71">
        <v>9.7157477000000006E-2</v>
      </c>
      <c r="K361" s="71">
        <v>9.5925568000000003E-2</v>
      </c>
      <c r="L361" s="71">
        <v>5.9263716000000001E-2</v>
      </c>
      <c r="M361" s="71">
        <v>6.2660673E-2</v>
      </c>
      <c r="N361" s="71">
        <v>6.2985040000000006E-2</v>
      </c>
      <c r="O361" s="71">
        <v>6.0315873999999998E-2</v>
      </c>
      <c r="P361" s="71">
        <v>6.0019384000000002E-2</v>
      </c>
      <c r="Q361" s="71">
        <v>6.0210706000000003E-2</v>
      </c>
      <c r="R361" s="71">
        <v>6.0660054999999997E-2</v>
      </c>
      <c r="S361" s="71">
        <v>0.15870519799999999</v>
      </c>
      <c r="T361" s="71">
        <v>0.15288496800000001</v>
      </c>
      <c r="U361" s="71">
        <v>0.14799174600000001</v>
      </c>
      <c r="V361" s="71">
        <v>0.143736215</v>
      </c>
      <c r="W361" s="71">
        <v>0.13915197400000001</v>
      </c>
      <c r="X361" s="71">
        <v>0.13538093700000001</v>
      </c>
      <c r="Y361" s="71">
        <v>0.131956515</v>
      </c>
      <c r="Z361" s="71">
        <v>7.7628947000000004E-2</v>
      </c>
      <c r="AA361" s="71">
        <v>7.6034782999999995E-2</v>
      </c>
      <c r="AB361" s="71">
        <v>7.1441421000000005E-2</v>
      </c>
      <c r="AC361" s="71">
        <v>6.6174269999999993E-2</v>
      </c>
      <c r="AD361" s="71">
        <v>6.5806605000000004E-2</v>
      </c>
      <c r="AE361" s="71">
        <v>6.4594501999999998E-2</v>
      </c>
      <c r="AF361" s="71">
        <v>6.5293562999999999E-2</v>
      </c>
      <c r="AG361" s="71">
        <v>0.139166552</v>
      </c>
      <c r="AH361" s="71">
        <v>0.138920291</v>
      </c>
      <c r="AI361" s="71">
        <v>0.13902610700000001</v>
      </c>
      <c r="AJ361" s="71">
        <v>0.13760051400000001</v>
      </c>
      <c r="AK361" s="71">
        <v>0.13297761</v>
      </c>
      <c r="AL361" s="71">
        <v>0.13074622499999999</v>
      </c>
      <c r="AM361" s="71">
        <v>0.12746452599999999</v>
      </c>
      <c r="AN361" s="71">
        <v>0.119924086</v>
      </c>
      <c r="AO361" s="71">
        <v>-9.8198290999999993E-2</v>
      </c>
      <c r="AP361" s="71">
        <v>0.75234723599999997</v>
      </c>
    </row>
    <row r="362" spans="1:42" x14ac:dyDescent="0.2">
      <c r="A362" t="s">
        <v>240</v>
      </c>
      <c r="B362" t="s">
        <v>102</v>
      </c>
      <c r="C362" t="s">
        <v>104</v>
      </c>
      <c r="D362" t="s">
        <v>100</v>
      </c>
      <c r="E362" s="71">
        <v>9.3092916999999997E-2</v>
      </c>
      <c r="F362" s="71">
        <v>9.2274783999999999E-2</v>
      </c>
      <c r="G362" s="71">
        <v>9.0308664999999996E-2</v>
      </c>
      <c r="H362" s="71">
        <v>8.7530015000000003E-2</v>
      </c>
      <c r="I362" s="71">
        <v>8.5646389000000003E-2</v>
      </c>
      <c r="J362" s="71">
        <v>8.4375499000000007E-2</v>
      </c>
      <c r="K362" s="71">
        <v>8.3486555000000004E-2</v>
      </c>
      <c r="L362" s="71">
        <v>3.9378684999999997E-2</v>
      </c>
      <c r="M362" s="71">
        <v>4.3855083000000003E-2</v>
      </c>
      <c r="N362" s="71">
        <v>4.4563458E-2</v>
      </c>
      <c r="O362" s="71">
        <v>4.4616135000000001E-2</v>
      </c>
      <c r="P362" s="71">
        <v>4.5088259999999998E-2</v>
      </c>
      <c r="Q362" s="71">
        <v>4.4865075999999997E-2</v>
      </c>
      <c r="R362" s="71">
        <v>4.5580557000000001E-2</v>
      </c>
      <c r="S362" s="71">
        <v>0.14860109399999999</v>
      </c>
      <c r="T362" s="71">
        <v>0.143058713</v>
      </c>
      <c r="U362" s="71">
        <v>0.13754056200000001</v>
      </c>
      <c r="V362" s="71">
        <v>0.13211197799999999</v>
      </c>
      <c r="W362" s="71">
        <v>0.12747408199999999</v>
      </c>
      <c r="X362" s="71">
        <v>0.124930842</v>
      </c>
      <c r="Y362" s="71">
        <v>0.123180241</v>
      </c>
      <c r="Z362" s="71">
        <v>5.8803420000000002E-2</v>
      </c>
      <c r="AA362" s="71">
        <v>5.7924581000000003E-2</v>
      </c>
      <c r="AB362" s="71">
        <v>5.4578354000000003E-2</v>
      </c>
      <c r="AC362" s="71">
        <v>5.178514E-2</v>
      </c>
      <c r="AD362" s="71">
        <v>5.0260383999999998E-2</v>
      </c>
      <c r="AE362" s="71">
        <v>4.9839550000000003E-2</v>
      </c>
      <c r="AF362" s="71">
        <v>5.0496772000000002E-2</v>
      </c>
      <c r="AG362" s="71">
        <v>0.128526205</v>
      </c>
      <c r="AH362" s="71">
        <v>0.12777411599999999</v>
      </c>
      <c r="AI362" s="71">
        <v>0.12728626000000001</v>
      </c>
      <c r="AJ362" s="71">
        <v>0.12452627099999999</v>
      </c>
      <c r="AK362" s="71">
        <v>0.122260721</v>
      </c>
      <c r="AL362" s="71">
        <v>0.12008195100000001</v>
      </c>
      <c r="AM362" s="71">
        <v>0.11754368799999999</v>
      </c>
      <c r="AN362" s="71">
        <v>0.13119098800000001</v>
      </c>
      <c r="AO362" s="71">
        <v>-0.34881022699999997</v>
      </c>
      <c r="AP362" s="71">
        <v>0.49527131099999999</v>
      </c>
    </row>
    <row r="363" spans="1:42" x14ac:dyDescent="0.2">
      <c r="A363" t="s">
        <v>224</v>
      </c>
      <c r="B363" t="s">
        <v>102</v>
      </c>
      <c r="C363" t="s">
        <v>104</v>
      </c>
      <c r="D363" t="s">
        <v>100</v>
      </c>
      <c r="E363" s="71">
        <v>9.7412465000000004E-2</v>
      </c>
      <c r="F363" s="71">
        <v>9.6675752000000004E-2</v>
      </c>
      <c r="G363" s="71">
        <v>9.4787238999999995E-2</v>
      </c>
      <c r="H363" s="71">
        <v>9.1832874999999994E-2</v>
      </c>
      <c r="I363" s="71">
        <v>8.9588521000000004E-2</v>
      </c>
      <c r="J363" s="71">
        <v>8.7930797000000005E-2</v>
      </c>
      <c r="K363" s="71">
        <v>8.6691259000000007E-2</v>
      </c>
      <c r="L363" s="71">
        <v>4.8088014999999998E-2</v>
      </c>
      <c r="M363" s="71">
        <v>5.2336750000000001E-2</v>
      </c>
      <c r="N363" s="71">
        <v>5.2948856000000002E-2</v>
      </c>
      <c r="O363" s="71">
        <v>5.1133761999999999E-2</v>
      </c>
      <c r="P363" s="71">
        <v>5.0375951000000002E-2</v>
      </c>
      <c r="Q363" s="71">
        <v>5.1623530000000001E-2</v>
      </c>
      <c r="R363" s="71">
        <v>5.2649116000000003E-2</v>
      </c>
      <c r="S363" s="71">
        <v>0.149107556</v>
      </c>
      <c r="T363" s="71">
        <v>0.14387229600000001</v>
      </c>
      <c r="U363" s="71">
        <v>0.13853942599999999</v>
      </c>
      <c r="V363" s="71">
        <v>0.13427736600000001</v>
      </c>
      <c r="W363" s="71">
        <v>0.13029854299999999</v>
      </c>
      <c r="X363" s="71">
        <v>0.12543442899999999</v>
      </c>
      <c r="Y363" s="71">
        <v>0.12153921400000001</v>
      </c>
      <c r="Z363" s="71">
        <v>6.4379738000000006E-2</v>
      </c>
      <c r="AA363" s="71">
        <v>6.2627719999999998E-2</v>
      </c>
      <c r="AB363" s="71">
        <v>6.0218257999999997E-2</v>
      </c>
      <c r="AC363" s="71">
        <v>5.8320469E-2</v>
      </c>
      <c r="AD363" s="71">
        <v>5.7229246999999997E-2</v>
      </c>
      <c r="AE363" s="71">
        <v>5.7612288999999997E-2</v>
      </c>
      <c r="AF363" s="71">
        <v>5.8229796E-2</v>
      </c>
      <c r="AG363" s="71">
        <v>0.13150113799999999</v>
      </c>
      <c r="AH363" s="71">
        <v>0.131847352</v>
      </c>
      <c r="AI363" s="71">
        <v>0.13051728000000001</v>
      </c>
      <c r="AJ363" s="71">
        <v>0.12643834600000001</v>
      </c>
      <c r="AK363" s="71">
        <v>0.12296791999999999</v>
      </c>
      <c r="AL363" s="71">
        <v>0.11914456</v>
      </c>
      <c r="AM363" s="71">
        <v>0.115941394</v>
      </c>
      <c r="AN363" s="71">
        <v>0.114535629</v>
      </c>
      <c r="AO363" s="71">
        <v>-0.20493684200000001</v>
      </c>
      <c r="AP363" s="71">
        <v>0.544334031</v>
      </c>
    </row>
    <row r="364" spans="1:42" x14ac:dyDescent="0.2">
      <c r="A364" t="s">
        <v>200</v>
      </c>
      <c r="B364" t="s">
        <v>102</v>
      </c>
      <c r="C364" t="s">
        <v>104</v>
      </c>
      <c r="D364" t="s">
        <v>100</v>
      </c>
      <c r="E364" s="71">
        <v>7.2540281999999998E-2</v>
      </c>
      <c r="F364" s="71">
        <v>7.2437641999999997E-2</v>
      </c>
      <c r="G364" s="71">
        <v>7.2004793999999997E-2</v>
      </c>
      <c r="H364" s="71">
        <v>7.1136235000000006E-2</v>
      </c>
      <c r="I364" s="71">
        <v>7.0439814000000003E-2</v>
      </c>
      <c r="J364" s="71">
        <v>6.9939731000000005E-2</v>
      </c>
      <c r="K364" s="71">
        <v>6.9581269000000001E-2</v>
      </c>
      <c r="L364" s="71">
        <v>1.1246037E-2</v>
      </c>
      <c r="M364" s="71">
        <v>1.8636605000000001E-2</v>
      </c>
      <c r="N364" s="71">
        <v>2.1712305000000001E-2</v>
      </c>
      <c r="O364" s="71">
        <v>2.4604695999999999E-2</v>
      </c>
      <c r="P364" s="71">
        <v>2.6920673999999999E-2</v>
      </c>
      <c r="Q364" s="71">
        <v>2.9333024999999999E-2</v>
      </c>
      <c r="R364" s="71">
        <v>3.1741435999999998E-2</v>
      </c>
      <c r="S364" s="71">
        <v>0.136575849</v>
      </c>
      <c r="T364" s="71">
        <v>0.128801098</v>
      </c>
      <c r="U364" s="71">
        <v>0.124709452</v>
      </c>
      <c r="V364" s="71">
        <v>0.119644128</v>
      </c>
      <c r="W364" s="71">
        <v>0.11551905899999999</v>
      </c>
      <c r="X364" s="71">
        <v>0.111324108</v>
      </c>
      <c r="Y364" s="71">
        <v>0.109286156</v>
      </c>
      <c r="Z364" s="71">
        <v>3.8728471E-2</v>
      </c>
      <c r="AA364" s="71">
        <v>3.9470863000000002E-2</v>
      </c>
      <c r="AB364" s="71">
        <v>3.8175220000000003E-2</v>
      </c>
      <c r="AC364" s="71">
        <v>3.4109655000000003E-2</v>
      </c>
      <c r="AD364" s="71">
        <v>3.5431981000000001E-2</v>
      </c>
      <c r="AE364" s="71">
        <v>3.6234172000000002E-2</v>
      </c>
      <c r="AF364" s="71">
        <v>3.7373390999999999E-2</v>
      </c>
      <c r="AG364" s="71">
        <v>0.107486306</v>
      </c>
      <c r="AH364" s="71">
        <v>0.106481812</v>
      </c>
      <c r="AI364" s="71">
        <v>0.106970542</v>
      </c>
      <c r="AJ364" s="71">
        <v>0.109529616</v>
      </c>
      <c r="AK364" s="71">
        <v>0.10666769</v>
      </c>
      <c r="AL364" s="71">
        <v>0.104775405</v>
      </c>
      <c r="AM364" s="71">
        <v>0.102819781</v>
      </c>
      <c r="AN364" s="71">
        <v>0.16230077800000001</v>
      </c>
      <c r="AO364" s="71">
        <v>-0.39857924700000003</v>
      </c>
      <c r="AP364" s="71">
        <v>0.61776790400000003</v>
      </c>
    </row>
    <row r="365" spans="1:42" x14ac:dyDescent="0.2">
      <c r="A365" t="s">
        <v>259</v>
      </c>
      <c r="B365" t="s">
        <v>102</v>
      </c>
      <c r="C365" t="s">
        <v>104</v>
      </c>
      <c r="D365" t="s">
        <v>100</v>
      </c>
      <c r="E365" s="71">
        <v>9.6600054000000005E-2</v>
      </c>
      <c r="F365" s="71">
        <v>9.553623E-2</v>
      </c>
      <c r="G365" s="71">
        <v>9.2747329000000003E-2</v>
      </c>
      <c r="H365" s="71">
        <v>8.8405845999999996E-2</v>
      </c>
      <c r="I365" s="71">
        <v>8.5246084999999999E-2</v>
      </c>
      <c r="J365" s="71">
        <v>8.3037374999999997E-2</v>
      </c>
      <c r="K365" s="71">
        <v>8.1466315999999997E-2</v>
      </c>
      <c r="L365" s="71">
        <v>3.9266439E-2</v>
      </c>
      <c r="M365" s="71">
        <v>4.3643570999999999E-2</v>
      </c>
      <c r="N365" s="71">
        <v>4.4821494000000003E-2</v>
      </c>
      <c r="O365" s="71">
        <v>4.4054889999999999E-2</v>
      </c>
      <c r="P365" s="71">
        <v>4.3319073E-2</v>
      </c>
      <c r="Q365" s="71">
        <v>4.4159045000000001E-2</v>
      </c>
      <c r="R365" s="71">
        <v>4.4819799E-2</v>
      </c>
      <c r="S365" s="71">
        <v>0.15703161299999999</v>
      </c>
      <c r="T365" s="71">
        <v>0.149925263</v>
      </c>
      <c r="U365" s="71">
        <v>0.14291686200000001</v>
      </c>
      <c r="V365" s="71">
        <v>0.13448892600000001</v>
      </c>
      <c r="W365" s="71">
        <v>0.128953453</v>
      </c>
      <c r="X365" s="71">
        <v>0.12392948199999999</v>
      </c>
      <c r="Y365" s="71">
        <v>0.119876488</v>
      </c>
      <c r="Z365" s="71">
        <v>6.2433232999999998E-2</v>
      </c>
      <c r="AA365" s="71">
        <v>6.0345663000000001E-2</v>
      </c>
      <c r="AB365" s="71">
        <v>5.6206470000000001E-2</v>
      </c>
      <c r="AC365" s="71">
        <v>5.2411035000000002E-2</v>
      </c>
      <c r="AD365" s="71">
        <v>5.1744297000000002E-2</v>
      </c>
      <c r="AE365" s="71">
        <v>4.9504877000000003E-2</v>
      </c>
      <c r="AF365" s="71">
        <v>4.9602923E-2</v>
      </c>
      <c r="AG365" s="71">
        <v>0.13189852699999999</v>
      </c>
      <c r="AH365" s="71">
        <v>0.13192979899999999</v>
      </c>
      <c r="AI365" s="71">
        <v>0.130590493</v>
      </c>
      <c r="AJ365" s="71">
        <v>0.125668946</v>
      </c>
      <c r="AK365" s="71">
        <v>0.119847362</v>
      </c>
      <c r="AL365" s="71">
        <v>0.117673668</v>
      </c>
      <c r="AM365" s="71">
        <v>0.114326489</v>
      </c>
      <c r="AN365" s="71">
        <v>0.14572380200000001</v>
      </c>
      <c r="AO365" s="71">
        <v>-0.32655078700000001</v>
      </c>
      <c r="AP365" s="71">
        <v>0.526062629</v>
      </c>
    </row>
    <row r="366" spans="1:42" x14ac:dyDescent="0.2">
      <c r="A366" t="s">
        <v>288</v>
      </c>
      <c r="B366" t="s">
        <v>102</v>
      </c>
      <c r="C366" t="s">
        <v>104</v>
      </c>
      <c r="D366" t="s">
        <v>100</v>
      </c>
      <c r="E366" s="71">
        <v>0.105075477</v>
      </c>
      <c r="F366" s="71">
        <v>0.104455112</v>
      </c>
      <c r="G366" s="71">
        <v>0.102952717</v>
      </c>
      <c r="H366" s="71">
        <v>0.100817083</v>
      </c>
      <c r="I366" s="71">
        <v>9.9365352000000004E-2</v>
      </c>
      <c r="J366" s="71">
        <v>9.8384736E-2</v>
      </c>
      <c r="K366" s="71">
        <v>9.7698449000000007E-2</v>
      </c>
      <c r="L366" s="71">
        <v>5.5449635999999997E-2</v>
      </c>
      <c r="M366" s="71">
        <v>5.8358116000000002E-2</v>
      </c>
      <c r="N366" s="71">
        <v>5.9729577999999998E-2</v>
      </c>
      <c r="O366" s="71">
        <v>5.9679033999999999E-2</v>
      </c>
      <c r="P366" s="71">
        <v>6.0185450000000001E-2</v>
      </c>
      <c r="Q366" s="71">
        <v>6.1497274999999997E-2</v>
      </c>
      <c r="R366" s="71">
        <v>6.3080910000000004E-2</v>
      </c>
      <c r="S366" s="71">
        <v>0.15802565599999999</v>
      </c>
      <c r="T366" s="71">
        <v>0.15233142999999999</v>
      </c>
      <c r="U366" s="71">
        <v>0.148366158</v>
      </c>
      <c r="V366" s="71">
        <v>0.14409725500000001</v>
      </c>
      <c r="W366" s="71">
        <v>0.13955257900000001</v>
      </c>
      <c r="X366" s="71">
        <v>0.13642564099999999</v>
      </c>
      <c r="Y366" s="71">
        <v>0.13389125700000001</v>
      </c>
      <c r="Z366" s="71">
        <v>7.1819525999999995E-2</v>
      </c>
      <c r="AA366" s="71">
        <v>7.3358091E-2</v>
      </c>
      <c r="AB366" s="71">
        <v>7.0493138999999996E-2</v>
      </c>
      <c r="AC366" s="71">
        <v>6.6281715000000005E-2</v>
      </c>
      <c r="AD366" s="71">
        <v>6.7006755000000001E-2</v>
      </c>
      <c r="AE366" s="71">
        <v>6.7961015999999999E-2</v>
      </c>
      <c r="AF366" s="71">
        <v>6.8648661E-2</v>
      </c>
      <c r="AG366" s="71">
        <v>0.13939401200000001</v>
      </c>
      <c r="AH366" s="71">
        <v>0.136479717</v>
      </c>
      <c r="AI366" s="71">
        <v>0.136425624</v>
      </c>
      <c r="AJ366" s="71">
        <v>0.136504401</v>
      </c>
      <c r="AK366" s="71">
        <v>0.13273453900000001</v>
      </c>
      <c r="AL366" s="71">
        <v>0.129700964</v>
      </c>
      <c r="AM366" s="71">
        <v>0.127561494</v>
      </c>
      <c r="AN366" s="71">
        <v>0.118653864</v>
      </c>
      <c r="AO366" s="71">
        <v>-0.254512191</v>
      </c>
      <c r="AP366" s="71">
        <v>0.62258420400000003</v>
      </c>
    </row>
    <row r="367" spans="1:42" x14ac:dyDescent="0.2">
      <c r="A367" t="s">
        <v>272</v>
      </c>
      <c r="B367" t="s">
        <v>102</v>
      </c>
      <c r="C367" t="s">
        <v>104</v>
      </c>
      <c r="D367" t="s">
        <v>100</v>
      </c>
      <c r="E367" s="71">
        <v>8.8414906000000001E-2</v>
      </c>
      <c r="F367" s="71">
        <v>8.8548539999999995E-2</v>
      </c>
      <c r="G367" s="71">
        <v>8.8749525999999995E-2</v>
      </c>
      <c r="H367" s="71">
        <v>8.8833687999999994E-2</v>
      </c>
      <c r="I367" s="71">
        <v>8.8786839000000006E-2</v>
      </c>
      <c r="J367" s="71">
        <v>8.8720200999999999E-2</v>
      </c>
      <c r="K367" s="71">
        <v>8.8661668999999999E-2</v>
      </c>
      <c r="L367" s="71">
        <v>4.2445952000000002E-2</v>
      </c>
      <c r="M367" s="71">
        <v>4.6110500999999998E-2</v>
      </c>
      <c r="N367" s="71">
        <v>4.8300135000000001E-2</v>
      </c>
      <c r="O367" s="71">
        <v>4.9713958000000003E-2</v>
      </c>
      <c r="P367" s="71">
        <v>5.2259738E-2</v>
      </c>
      <c r="Q367" s="71">
        <v>5.4225304000000002E-2</v>
      </c>
      <c r="R367" s="71">
        <v>5.6237197000000003E-2</v>
      </c>
      <c r="S367" s="71">
        <v>0.13571670799999999</v>
      </c>
      <c r="T367" s="71">
        <v>0.13203733300000001</v>
      </c>
      <c r="U367" s="71">
        <v>0.13040500599999999</v>
      </c>
      <c r="V367" s="71">
        <v>0.12909499299999999</v>
      </c>
      <c r="W367" s="71">
        <v>0.126832891</v>
      </c>
      <c r="X367" s="71">
        <v>0.12422345799999999</v>
      </c>
      <c r="Y367" s="71">
        <v>0.12214665</v>
      </c>
      <c r="Z367" s="71">
        <v>5.728229E-2</v>
      </c>
      <c r="AA367" s="71">
        <v>5.7686425999999999E-2</v>
      </c>
      <c r="AB367" s="71">
        <v>5.5289687999999997E-2</v>
      </c>
      <c r="AC367" s="71">
        <v>5.5021390000000003E-2</v>
      </c>
      <c r="AD367" s="71">
        <v>5.5836428E-2</v>
      </c>
      <c r="AE367" s="71">
        <v>5.5189082E-2</v>
      </c>
      <c r="AF367" s="71">
        <v>5.7360778000000001E-2</v>
      </c>
      <c r="AG367" s="71">
        <v>0.12049180700000001</v>
      </c>
      <c r="AH367" s="71">
        <v>0.120338339</v>
      </c>
      <c r="AI367" s="71">
        <v>0.123302362</v>
      </c>
      <c r="AJ367" s="71">
        <v>0.123762355</v>
      </c>
      <c r="AK367" s="71">
        <v>0.122796697</v>
      </c>
      <c r="AL367" s="71">
        <v>0.12334872400000001</v>
      </c>
      <c r="AM367" s="71">
        <v>0.12091708499999999</v>
      </c>
      <c r="AN367" s="71">
        <v>0.101275664</v>
      </c>
      <c r="AO367" s="71">
        <v>-0.184331827</v>
      </c>
      <c r="AP367" s="71">
        <v>0.605863123</v>
      </c>
    </row>
    <row r="368" spans="1:42" x14ac:dyDescent="0.2">
      <c r="A368" t="s">
        <v>178</v>
      </c>
      <c r="B368" t="s">
        <v>102</v>
      </c>
      <c r="C368" t="s">
        <v>104</v>
      </c>
      <c r="D368" t="s">
        <v>100</v>
      </c>
      <c r="E368" s="71">
        <v>9.4545005000000001E-2</v>
      </c>
      <c r="F368" s="71">
        <v>9.4869492999999999E-2</v>
      </c>
      <c r="G368" s="71">
        <v>9.5327137000000006E-2</v>
      </c>
      <c r="H368" s="71">
        <v>9.5558165E-2</v>
      </c>
      <c r="I368" s="71">
        <v>9.5551966000000002E-2</v>
      </c>
      <c r="J368" s="71">
        <v>9.5504878000000001E-2</v>
      </c>
      <c r="K368" s="71">
        <v>9.5460056000000001E-2</v>
      </c>
      <c r="L368" s="71">
        <v>4.0809969000000001E-2</v>
      </c>
      <c r="M368" s="71">
        <v>4.5408517000000002E-2</v>
      </c>
      <c r="N368" s="71">
        <v>4.9844942000000003E-2</v>
      </c>
      <c r="O368" s="71">
        <v>5.2832601E-2</v>
      </c>
      <c r="P368" s="71">
        <v>5.5693758000000003E-2</v>
      </c>
      <c r="Q368" s="71">
        <v>5.7816623999999997E-2</v>
      </c>
      <c r="R368" s="71">
        <v>5.9355603999999999E-2</v>
      </c>
      <c r="S368" s="71">
        <v>0.15125793700000001</v>
      </c>
      <c r="T368" s="71">
        <v>0.14646292299999999</v>
      </c>
      <c r="U368" s="71">
        <v>0.14374859600000001</v>
      </c>
      <c r="V368" s="71">
        <v>0.14052547400000001</v>
      </c>
      <c r="W368" s="71">
        <v>0.13701644299999999</v>
      </c>
      <c r="X368" s="71">
        <v>0.13485867400000001</v>
      </c>
      <c r="Y368" s="71">
        <v>0.13228015800000001</v>
      </c>
      <c r="Z368" s="71">
        <v>6.1061481000000001E-2</v>
      </c>
      <c r="AA368" s="71">
        <v>6.1589008000000001E-2</v>
      </c>
      <c r="AB368" s="71">
        <v>6.1407573E-2</v>
      </c>
      <c r="AC368" s="71">
        <v>6.1026417999999999E-2</v>
      </c>
      <c r="AD368" s="71">
        <v>6.2398302000000003E-2</v>
      </c>
      <c r="AE368" s="71">
        <v>6.2690291999999995E-2</v>
      </c>
      <c r="AF368" s="71">
        <v>6.4885789999999999E-2</v>
      </c>
      <c r="AG368" s="71">
        <v>0.129117016</v>
      </c>
      <c r="AH368" s="71">
        <v>0.12922456900000001</v>
      </c>
      <c r="AI368" s="71">
        <v>0.13036326400000001</v>
      </c>
      <c r="AJ368" s="71">
        <v>0.13124745400000001</v>
      </c>
      <c r="AK368" s="71">
        <v>0.12977122799999999</v>
      </c>
      <c r="AL368" s="71">
        <v>0.12936319499999999</v>
      </c>
      <c r="AM368" s="71">
        <v>0.12693823900000001</v>
      </c>
      <c r="AN368" s="71">
        <v>0.131430988</v>
      </c>
      <c r="AO368" s="71">
        <v>-0.28845065800000003</v>
      </c>
      <c r="AP368" s="71">
        <v>0.67816748699999996</v>
      </c>
    </row>
    <row r="369" spans="1:42" x14ac:dyDescent="0.2">
      <c r="A369" t="s">
        <v>191</v>
      </c>
      <c r="B369" t="s">
        <v>102</v>
      </c>
      <c r="C369" t="s">
        <v>104</v>
      </c>
      <c r="D369" t="s">
        <v>100</v>
      </c>
      <c r="E369" s="71">
        <v>0.11598813400000001</v>
      </c>
      <c r="F369" s="71">
        <v>0.115751384</v>
      </c>
      <c r="G369" s="71">
        <v>0.115455268</v>
      </c>
      <c r="H369" s="71">
        <v>0.11549377299999999</v>
      </c>
      <c r="I369" s="71">
        <v>0.115760563</v>
      </c>
      <c r="J369" s="71">
        <v>0.116023301</v>
      </c>
      <c r="K369" s="71">
        <v>0.116234778</v>
      </c>
      <c r="L369" s="71">
        <v>6.6980859000000004E-2</v>
      </c>
      <c r="M369" s="71">
        <v>6.9361188000000004E-2</v>
      </c>
      <c r="N369" s="71">
        <v>7.2524556000000004E-2</v>
      </c>
      <c r="O369" s="71">
        <v>7.4644343000000002E-2</v>
      </c>
      <c r="P369" s="71">
        <v>7.7059773999999998E-2</v>
      </c>
      <c r="Q369" s="71">
        <v>7.9132357E-2</v>
      </c>
      <c r="R369" s="71">
        <v>8.1460477000000003E-2</v>
      </c>
      <c r="S369" s="71">
        <v>0.16729279</v>
      </c>
      <c r="T369" s="71">
        <v>0.16319640299999999</v>
      </c>
      <c r="U369" s="71">
        <v>0.16116598400000001</v>
      </c>
      <c r="V369" s="71">
        <v>0.15807616899999999</v>
      </c>
      <c r="W369" s="71">
        <v>0.156180917</v>
      </c>
      <c r="X369" s="71">
        <v>0.15408966399999999</v>
      </c>
      <c r="Y369" s="71">
        <v>0.152057941</v>
      </c>
      <c r="Z369" s="71">
        <v>8.1259001999999997E-2</v>
      </c>
      <c r="AA369" s="71">
        <v>8.2438613999999993E-2</v>
      </c>
      <c r="AB369" s="71">
        <v>8.0117794000000006E-2</v>
      </c>
      <c r="AC369" s="71">
        <v>7.8540945000000001E-2</v>
      </c>
      <c r="AD369" s="71">
        <v>7.8759210999999996E-2</v>
      </c>
      <c r="AE369" s="71">
        <v>8.2844920000000002E-2</v>
      </c>
      <c r="AF369" s="71">
        <v>8.4617222000000006E-2</v>
      </c>
      <c r="AG369" s="71">
        <v>0.15186542</v>
      </c>
      <c r="AH369" s="71">
        <v>0.15011972300000001</v>
      </c>
      <c r="AI369" s="71">
        <v>0.15198285</v>
      </c>
      <c r="AJ369" s="71">
        <v>0.153750099</v>
      </c>
      <c r="AK369" s="71">
        <v>0.15406834</v>
      </c>
      <c r="AL369" s="71">
        <v>0.150248142</v>
      </c>
      <c r="AM369" s="71">
        <v>0.148801139</v>
      </c>
      <c r="AN369" s="71">
        <v>0.110138527</v>
      </c>
      <c r="AO369" s="71">
        <v>-0.12954262499999999</v>
      </c>
      <c r="AP369" s="71">
        <v>0.64665449100000005</v>
      </c>
    </row>
    <row r="370" spans="1:42" x14ac:dyDescent="0.2">
      <c r="A370" t="s">
        <v>254</v>
      </c>
      <c r="B370" t="s">
        <v>102</v>
      </c>
      <c r="C370" t="s">
        <v>104</v>
      </c>
      <c r="D370" t="s">
        <v>100</v>
      </c>
      <c r="E370" s="71">
        <v>9.2479823000000003E-2</v>
      </c>
      <c r="F370" s="71">
        <v>9.3347071000000004E-2</v>
      </c>
      <c r="G370" s="71">
        <v>9.5126269999999999E-2</v>
      </c>
      <c r="H370" s="71">
        <v>9.7086666000000002E-2</v>
      </c>
      <c r="I370" s="71">
        <v>9.8095057999999999E-2</v>
      </c>
      <c r="J370" s="71">
        <v>9.8653672999999997E-2</v>
      </c>
      <c r="K370" s="71">
        <v>9.9000332999999996E-2</v>
      </c>
      <c r="L370" s="71">
        <v>3.8462120000000002E-2</v>
      </c>
      <c r="M370" s="71">
        <v>4.4041025999999997E-2</v>
      </c>
      <c r="N370" s="71">
        <v>4.9127894999999998E-2</v>
      </c>
      <c r="O370" s="71">
        <v>5.4541258000000002E-2</v>
      </c>
      <c r="P370" s="71">
        <v>5.7826264000000002E-2</v>
      </c>
      <c r="Q370" s="71">
        <v>6.0252764E-2</v>
      </c>
      <c r="R370" s="71">
        <v>6.2730859999999999E-2</v>
      </c>
      <c r="S370" s="71">
        <v>0.15013014</v>
      </c>
      <c r="T370" s="71">
        <v>0.144526509</v>
      </c>
      <c r="U370" s="71">
        <v>0.14376636700000001</v>
      </c>
      <c r="V370" s="71">
        <v>0.14183536099999999</v>
      </c>
      <c r="W370" s="71">
        <v>0.140024174</v>
      </c>
      <c r="X370" s="71">
        <v>0.13842803000000001</v>
      </c>
      <c r="Y370" s="71">
        <v>0.137022804</v>
      </c>
      <c r="Z370" s="71">
        <v>5.9933190999999997E-2</v>
      </c>
      <c r="AA370" s="71">
        <v>6.1144321000000001E-2</v>
      </c>
      <c r="AB370" s="71">
        <v>5.9567751000000002E-2</v>
      </c>
      <c r="AC370" s="71">
        <v>6.1846987999999999E-2</v>
      </c>
      <c r="AD370" s="71">
        <v>6.3864438999999995E-2</v>
      </c>
      <c r="AE370" s="71">
        <v>6.4349585000000001E-2</v>
      </c>
      <c r="AF370" s="71">
        <v>6.8231201000000005E-2</v>
      </c>
      <c r="AG370" s="71">
        <v>0.126055891</v>
      </c>
      <c r="AH370" s="71">
        <v>0.126556644</v>
      </c>
      <c r="AI370" s="71">
        <v>0.13191396599999999</v>
      </c>
      <c r="AJ370" s="71">
        <v>0.13353097</v>
      </c>
      <c r="AK370" s="71">
        <v>0.133459985</v>
      </c>
      <c r="AL370" s="71">
        <v>0.13409632599999999</v>
      </c>
      <c r="AM370" s="71">
        <v>0.130682203</v>
      </c>
      <c r="AN370" s="71">
        <v>0.13477504500000001</v>
      </c>
      <c r="AO370" s="71">
        <v>-0.25706067599999999</v>
      </c>
      <c r="AP370" s="71">
        <v>0.75828191899999997</v>
      </c>
    </row>
    <row r="371" spans="1:42" x14ac:dyDescent="0.2">
      <c r="A371" t="s">
        <v>103</v>
      </c>
      <c r="B371" t="s">
        <v>102</v>
      </c>
      <c r="C371" t="s">
        <v>104</v>
      </c>
      <c r="D371" t="s">
        <v>100</v>
      </c>
      <c r="E371" s="71">
        <v>0.127104519</v>
      </c>
      <c r="F371" s="71">
        <v>0.126546143</v>
      </c>
      <c r="G371" s="71">
        <v>0.12537896500000001</v>
      </c>
      <c r="H371" s="71">
        <v>0.12403845600000001</v>
      </c>
      <c r="I371" s="71">
        <v>0.12330329299999999</v>
      </c>
      <c r="J371" s="71">
        <v>0.12287092099999999</v>
      </c>
      <c r="K371" s="71">
        <v>0.122591136</v>
      </c>
      <c r="L371" s="71">
        <v>6.3747756000000003E-2</v>
      </c>
      <c r="M371" s="71">
        <v>6.9461818999999994E-2</v>
      </c>
      <c r="N371" s="71">
        <v>7.2532154000000001E-2</v>
      </c>
      <c r="O371" s="71">
        <v>7.6339725999999997E-2</v>
      </c>
      <c r="P371" s="71">
        <v>7.7569618000000007E-2</v>
      </c>
      <c r="Q371" s="71">
        <v>8.0141418000000006E-2</v>
      </c>
      <c r="R371" s="71">
        <v>8.2925149000000004E-2</v>
      </c>
      <c r="S371" s="71">
        <v>0.19473391700000001</v>
      </c>
      <c r="T371" s="71">
        <v>0.186570968</v>
      </c>
      <c r="U371" s="71">
        <v>0.18028670499999999</v>
      </c>
      <c r="V371" s="71">
        <v>0.17475370600000001</v>
      </c>
      <c r="W371" s="71">
        <v>0.17073703400000001</v>
      </c>
      <c r="X371" s="71">
        <v>0.16716499500000001</v>
      </c>
      <c r="Y371" s="71">
        <v>0.164110335</v>
      </c>
      <c r="Z371" s="71">
        <v>8.8469085000000003E-2</v>
      </c>
      <c r="AA371" s="71">
        <v>8.9090533E-2</v>
      </c>
      <c r="AB371" s="71">
        <v>8.5554491999999996E-2</v>
      </c>
      <c r="AC371" s="71">
        <v>8.3763935999999997E-2</v>
      </c>
      <c r="AD371" s="71">
        <v>8.4536858000000006E-2</v>
      </c>
      <c r="AE371" s="71">
        <v>8.5392692000000006E-2</v>
      </c>
      <c r="AF371" s="71">
        <v>8.6921345999999997E-2</v>
      </c>
      <c r="AG371" s="71">
        <v>0.16715143499999999</v>
      </c>
      <c r="AH371" s="71">
        <v>0.165327633</v>
      </c>
      <c r="AI371" s="71">
        <v>0.16670717099999999</v>
      </c>
      <c r="AJ371" s="71">
        <v>0.165853531</v>
      </c>
      <c r="AK371" s="71">
        <v>0.16349587500000001</v>
      </c>
      <c r="AL371" s="71">
        <v>0.16168128600000001</v>
      </c>
      <c r="AM371" s="71">
        <v>0.15946571700000001</v>
      </c>
      <c r="AN371" s="71">
        <v>0.15419929299999999</v>
      </c>
      <c r="AO371" s="71">
        <v>-0.15225261100000001</v>
      </c>
      <c r="AP371" s="71">
        <v>0.77338175099999995</v>
      </c>
    </row>
    <row r="372" spans="1:42" x14ac:dyDescent="0.2">
      <c r="A372" t="s">
        <v>214</v>
      </c>
      <c r="B372" t="s">
        <v>102</v>
      </c>
      <c r="C372" t="s">
        <v>104</v>
      </c>
      <c r="D372" t="s">
        <v>100</v>
      </c>
      <c r="E372" s="71">
        <v>0.108302592</v>
      </c>
      <c r="F372" s="71">
        <v>0.10712242</v>
      </c>
      <c r="G372" s="71">
        <v>0.104326604</v>
      </c>
      <c r="H372" s="71">
        <v>0.100466607</v>
      </c>
      <c r="I372" s="71">
        <v>9.7920059000000004E-2</v>
      </c>
      <c r="J372" s="71">
        <v>9.6238491999999995E-2</v>
      </c>
      <c r="K372" s="71">
        <v>9.5080373999999995E-2</v>
      </c>
      <c r="L372" s="71">
        <v>5.9262487000000003E-2</v>
      </c>
      <c r="M372" s="71">
        <v>6.2671230999999994E-2</v>
      </c>
      <c r="N372" s="71">
        <v>6.2113201999999999E-2</v>
      </c>
      <c r="O372" s="71">
        <v>5.9970900000000001E-2</v>
      </c>
      <c r="P372" s="71">
        <v>5.9626206000000001E-2</v>
      </c>
      <c r="Q372" s="71">
        <v>6.0392442999999997E-2</v>
      </c>
      <c r="R372" s="71">
        <v>6.0703413999999997E-2</v>
      </c>
      <c r="S372" s="71">
        <v>0.160237987</v>
      </c>
      <c r="T372" s="71">
        <v>0.15372522699999999</v>
      </c>
      <c r="U372" s="71">
        <v>0.14849469700000001</v>
      </c>
      <c r="V372" s="71">
        <v>0.14213200300000001</v>
      </c>
      <c r="W372" s="71">
        <v>0.13712392600000001</v>
      </c>
      <c r="X372" s="71">
        <v>0.13336768399999999</v>
      </c>
      <c r="Y372" s="71">
        <v>0.130896285</v>
      </c>
      <c r="Z372" s="71">
        <v>7.6820767999999998E-2</v>
      </c>
      <c r="AA372" s="71">
        <v>7.6630510999999998E-2</v>
      </c>
      <c r="AB372" s="71">
        <v>7.0184672000000004E-2</v>
      </c>
      <c r="AC372" s="71">
        <v>6.6442335000000005E-2</v>
      </c>
      <c r="AD372" s="71">
        <v>6.4124006999999997E-2</v>
      </c>
      <c r="AE372" s="71">
        <v>6.3393671999999998E-2</v>
      </c>
      <c r="AF372" s="71">
        <v>6.4065315999999997E-2</v>
      </c>
      <c r="AG372" s="71">
        <v>0.140731934</v>
      </c>
      <c r="AH372" s="71">
        <v>0.13850353700000001</v>
      </c>
      <c r="AI372" s="71">
        <v>0.139589981</v>
      </c>
      <c r="AJ372" s="71">
        <v>0.13560877399999999</v>
      </c>
      <c r="AK372" s="71">
        <v>0.13282157999999999</v>
      </c>
      <c r="AL372" s="71">
        <v>0.13012813600000001</v>
      </c>
      <c r="AM372" s="71">
        <v>0.12702650100000001</v>
      </c>
      <c r="AN372" s="71">
        <v>0.120566584</v>
      </c>
      <c r="AO372" s="71">
        <v>-0.18994386799999999</v>
      </c>
      <c r="AP372" s="71">
        <v>0.76098895600000005</v>
      </c>
    </row>
    <row r="373" spans="1:42" x14ac:dyDescent="0.2">
      <c r="A373" t="s">
        <v>164</v>
      </c>
      <c r="B373" t="s">
        <v>102</v>
      </c>
      <c r="C373" t="s">
        <v>104</v>
      </c>
      <c r="D373" t="s">
        <v>100</v>
      </c>
      <c r="E373" s="71">
        <v>8.6839674000000006E-2</v>
      </c>
      <c r="F373" s="71">
        <v>8.6743234000000002E-2</v>
      </c>
      <c r="G373" s="71">
        <v>8.6598632999999994E-2</v>
      </c>
      <c r="H373" s="71">
        <v>8.6591361000000006E-2</v>
      </c>
      <c r="I373" s="71">
        <v>8.6738585000000007E-2</v>
      </c>
      <c r="J373" s="71">
        <v>8.6918591000000003E-2</v>
      </c>
      <c r="K373" s="71">
        <v>8.7084411E-2</v>
      </c>
      <c r="L373" s="71">
        <v>4.0236068999999999E-2</v>
      </c>
      <c r="M373" s="71">
        <v>4.3991532999999999E-2</v>
      </c>
      <c r="N373" s="71">
        <v>4.6469391999999998E-2</v>
      </c>
      <c r="O373" s="71">
        <v>4.7981124999999999E-2</v>
      </c>
      <c r="P373" s="71">
        <v>5.0761371E-2</v>
      </c>
      <c r="Q373" s="71">
        <v>5.2283578999999997E-2</v>
      </c>
      <c r="R373" s="71">
        <v>5.4130591999999998E-2</v>
      </c>
      <c r="S373" s="71">
        <v>0.13601955800000001</v>
      </c>
      <c r="T373" s="71">
        <v>0.131107217</v>
      </c>
      <c r="U373" s="71">
        <v>0.12925402599999999</v>
      </c>
      <c r="V373" s="71">
        <v>0.126399334</v>
      </c>
      <c r="W373" s="71">
        <v>0.124470015</v>
      </c>
      <c r="X373" s="71">
        <v>0.123348929</v>
      </c>
      <c r="Y373" s="71">
        <v>0.121071661</v>
      </c>
      <c r="Z373" s="71">
        <v>5.6555436000000001E-2</v>
      </c>
      <c r="AA373" s="71">
        <v>5.7558241000000003E-2</v>
      </c>
      <c r="AB373" s="71">
        <v>5.5394005000000003E-2</v>
      </c>
      <c r="AC373" s="71">
        <v>5.2074783999999999E-2</v>
      </c>
      <c r="AD373" s="71">
        <v>5.4258887999999998E-2</v>
      </c>
      <c r="AE373" s="71">
        <v>5.5859285000000002E-2</v>
      </c>
      <c r="AF373" s="71">
        <v>5.7862160000000003E-2</v>
      </c>
      <c r="AG373" s="71">
        <v>0.11801800699999999</v>
      </c>
      <c r="AH373" s="71">
        <v>0.116757975</v>
      </c>
      <c r="AI373" s="71">
        <v>0.118753703</v>
      </c>
      <c r="AJ373" s="71">
        <v>0.12227461100000001</v>
      </c>
      <c r="AK373" s="71">
        <v>0.12024921399999999</v>
      </c>
      <c r="AL373" s="71">
        <v>0.11891906100000001</v>
      </c>
      <c r="AM373" s="71">
        <v>0.11713823499999999</v>
      </c>
      <c r="AN373" s="71">
        <v>0.112706212</v>
      </c>
      <c r="AO373" s="71">
        <v>-0.282822087</v>
      </c>
      <c r="AP373" s="71">
        <v>0.689528103</v>
      </c>
    </row>
    <row r="374" spans="1:42" x14ac:dyDescent="0.2">
      <c r="A374" t="s">
        <v>345</v>
      </c>
      <c r="B374" t="s">
        <v>102</v>
      </c>
      <c r="C374" t="s">
        <v>104</v>
      </c>
      <c r="D374" t="s">
        <v>100</v>
      </c>
      <c r="E374" s="71">
        <v>8.1680892000000005E-2</v>
      </c>
      <c r="F374" s="71">
        <v>8.3427904999999997E-2</v>
      </c>
      <c r="G374" s="71">
        <v>8.7569354000000002E-2</v>
      </c>
      <c r="H374" s="71">
        <v>9.3419073000000005E-2</v>
      </c>
      <c r="I374" s="71">
        <v>9.7401021000000004E-2</v>
      </c>
      <c r="J374" s="71">
        <v>0.10009789299999999</v>
      </c>
      <c r="K374" s="71">
        <v>0.101989625</v>
      </c>
      <c r="L374" s="71">
        <v>3.4619387000000001E-2</v>
      </c>
      <c r="M374" s="71">
        <v>4.0767934999999998E-2</v>
      </c>
      <c r="N374" s="71">
        <v>4.6665089E-2</v>
      </c>
      <c r="O374" s="71">
        <v>5.3710280999999999E-2</v>
      </c>
      <c r="P374" s="71">
        <v>5.9677587999999997E-2</v>
      </c>
      <c r="Q374" s="71">
        <v>6.4646396999999994E-2</v>
      </c>
      <c r="R374" s="71">
        <v>6.7870384000000006E-2</v>
      </c>
      <c r="S374" s="71">
        <v>0.13141175199999999</v>
      </c>
      <c r="T374" s="71">
        <v>0.12910339200000001</v>
      </c>
      <c r="U374" s="71">
        <v>0.13069098600000001</v>
      </c>
      <c r="V374" s="71">
        <v>0.135075111</v>
      </c>
      <c r="W374" s="71">
        <v>0.13666197799999999</v>
      </c>
      <c r="X374" s="71">
        <v>0.137339612</v>
      </c>
      <c r="Y374" s="71">
        <v>0.13695933099999999</v>
      </c>
      <c r="Z374" s="71">
        <v>5.1344173E-2</v>
      </c>
      <c r="AA374" s="71">
        <v>5.3742830999999998E-2</v>
      </c>
      <c r="AB374" s="71">
        <v>5.5315357000000002E-2</v>
      </c>
      <c r="AC374" s="71">
        <v>5.905912E-2</v>
      </c>
      <c r="AD374" s="71">
        <v>6.4046779999999998E-2</v>
      </c>
      <c r="AE374" s="71">
        <v>6.7395992000000002E-2</v>
      </c>
      <c r="AF374" s="71">
        <v>7.0035721999999995E-2</v>
      </c>
      <c r="AG374" s="71">
        <v>0.11291959</v>
      </c>
      <c r="AH374" s="71">
        <v>0.113974557</v>
      </c>
      <c r="AI374" s="71">
        <v>0.120838691</v>
      </c>
      <c r="AJ374" s="71">
        <v>0.128927238</v>
      </c>
      <c r="AK374" s="71">
        <v>0.13183209800000001</v>
      </c>
      <c r="AL374" s="71">
        <v>0.13383162600000001</v>
      </c>
      <c r="AM374" s="71">
        <v>0.13492607000000001</v>
      </c>
      <c r="AN374" s="71">
        <v>0.112339653</v>
      </c>
      <c r="AO374" s="71">
        <v>-0.24183006800000001</v>
      </c>
      <c r="AP374" s="71">
        <v>0.70521634700000002</v>
      </c>
    </row>
    <row r="375" spans="1:42" x14ac:dyDescent="0.2">
      <c r="A375" t="s">
        <v>138</v>
      </c>
      <c r="B375" t="s">
        <v>102</v>
      </c>
      <c r="C375" t="s">
        <v>101</v>
      </c>
      <c r="D375" t="s">
        <v>100</v>
      </c>
      <c r="E375" s="71">
        <v>4.4962624E-2</v>
      </c>
      <c r="F375" s="71">
        <v>4.5814373999999998E-2</v>
      </c>
      <c r="G375" s="75">
        <v>4.7811725999999999E-2</v>
      </c>
      <c r="H375" s="71">
        <v>5.0512054000000001E-2</v>
      </c>
      <c r="I375" s="71">
        <v>5.2235225000000003E-2</v>
      </c>
      <c r="J375" s="71">
        <v>5.3332785000000001E-2</v>
      </c>
      <c r="K375" s="71">
        <v>5.4063776000000001E-2</v>
      </c>
      <c r="L375" s="71">
        <v>2.172847E-2</v>
      </c>
      <c r="M375" s="71">
        <v>2.5300373000000001E-2</v>
      </c>
      <c r="N375" s="71">
        <v>2.8942135000000001E-2</v>
      </c>
      <c r="O375" s="71">
        <v>3.2005216000000003E-2</v>
      </c>
      <c r="P375" s="71">
        <v>3.3913069999999997E-2</v>
      </c>
      <c r="Q375" s="71">
        <v>3.5536429000000001E-2</v>
      </c>
      <c r="R375" s="71">
        <v>3.6990220999999997E-2</v>
      </c>
      <c r="S375" s="71">
        <v>6.8528923000000005E-2</v>
      </c>
      <c r="T375" s="71">
        <v>6.6836604999999993E-2</v>
      </c>
      <c r="U375" s="71">
        <v>6.7189782000000003E-2</v>
      </c>
      <c r="V375" s="71">
        <v>6.9507184999999999E-2</v>
      </c>
      <c r="W375" s="71">
        <v>7.0956284999999994E-2</v>
      </c>
      <c r="X375" s="71">
        <v>7.1382126000000004E-2</v>
      </c>
      <c r="Y375" s="71">
        <v>7.1482364000000007E-2</v>
      </c>
      <c r="Z375" s="71">
        <v>3.6123807000000001E-2</v>
      </c>
      <c r="AA375" s="71">
        <v>3.6081343000000002E-2</v>
      </c>
      <c r="AB375" s="71">
        <v>3.6483882000000002E-2</v>
      </c>
      <c r="AC375" s="71">
        <v>3.6373087999999998E-2</v>
      </c>
      <c r="AD375" s="71">
        <v>3.7159826E-2</v>
      </c>
      <c r="AE375" s="71">
        <v>3.8246851999999998E-2</v>
      </c>
      <c r="AF375" s="71">
        <v>3.8567272999999999E-2</v>
      </c>
      <c r="AG375" s="71">
        <v>5.3877225000000001E-2</v>
      </c>
      <c r="AH375" s="71">
        <v>5.5639112999999997E-2</v>
      </c>
      <c r="AI375" s="71">
        <v>5.9263599E-2</v>
      </c>
      <c r="AJ375" s="71">
        <v>6.4844318999999997E-2</v>
      </c>
      <c r="AK375" s="71">
        <v>6.7530373000000005E-2</v>
      </c>
      <c r="AL375" s="71">
        <v>6.8638641E-2</v>
      </c>
      <c r="AM375" s="71">
        <v>6.9792175999999997E-2</v>
      </c>
      <c r="AN375" s="71">
        <v>6.8050389000000003E-2</v>
      </c>
      <c r="AO375" s="71">
        <v>0.53457252099999997</v>
      </c>
      <c r="AP375" s="71">
        <v>0.35526197500000001</v>
      </c>
    </row>
    <row r="376" spans="1:42" x14ac:dyDescent="0.2">
      <c r="A376" t="s">
        <v>240</v>
      </c>
      <c r="B376" t="s">
        <v>102</v>
      </c>
      <c r="C376" t="s">
        <v>101</v>
      </c>
      <c r="D376" t="s">
        <v>100</v>
      </c>
      <c r="E376" s="71">
        <v>3.0581573000000001E-2</v>
      </c>
      <c r="F376" s="71">
        <v>3.1527260000000001E-2</v>
      </c>
      <c r="G376" s="71">
        <v>3.3806780000000002E-2</v>
      </c>
      <c r="H376" s="71">
        <v>3.7044265999999999E-2</v>
      </c>
      <c r="I376" s="71">
        <v>3.9249160999999998E-2</v>
      </c>
      <c r="J376" s="71">
        <v>4.0741779999999998E-2</v>
      </c>
      <c r="K376" s="71">
        <v>4.1787841999999999E-2</v>
      </c>
      <c r="L376" s="71">
        <v>5.21529E-3</v>
      </c>
      <c r="M376" s="71">
        <v>9.1408530000000009E-3</v>
      </c>
      <c r="N376" s="71">
        <v>1.2932693E-2</v>
      </c>
      <c r="O376" s="71">
        <v>1.7180693E-2</v>
      </c>
      <c r="P376" s="71">
        <v>1.9211613999999998E-2</v>
      </c>
      <c r="Q376" s="71">
        <v>1.9746065E-2</v>
      </c>
      <c r="R376" s="71">
        <v>2.0041399000000001E-2</v>
      </c>
      <c r="S376" s="71">
        <v>5.7231404E-2</v>
      </c>
      <c r="T376" s="71">
        <v>5.4774613E-2</v>
      </c>
      <c r="U376" s="71">
        <v>5.5032473999999998E-2</v>
      </c>
      <c r="V376" s="71">
        <v>5.7053573000000003E-2</v>
      </c>
      <c r="W376" s="71">
        <v>5.9508722999999999E-2</v>
      </c>
      <c r="X376" s="71">
        <v>6.2246160000000002E-2</v>
      </c>
      <c r="Y376" s="71">
        <v>6.4217940000000001E-2</v>
      </c>
      <c r="Z376" s="71">
        <v>1.7918111E-2</v>
      </c>
      <c r="AA376" s="71">
        <v>1.8916406E-2</v>
      </c>
      <c r="AB376" s="71">
        <v>2.0257277000000001E-2</v>
      </c>
      <c r="AC376" s="71">
        <v>2.1813820000000001E-2</v>
      </c>
      <c r="AD376" s="71">
        <v>2.2248653E-2</v>
      </c>
      <c r="AE376" s="71">
        <v>2.272474E-2</v>
      </c>
      <c r="AF376" s="71">
        <v>2.2642415999999999E-2</v>
      </c>
      <c r="AG376" s="71">
        <v>4.3403162000000002E-2</v>
      </c>
      <c r="AH376" s="71">
        <v>4.4294701999999998E-2</v>
      </c>
      <c r="AI376" s="71">
        <v>4.7536836999999998E-2</v>
      </c>
      <c r="AJ376" s="71">
        <v>5.2502439999999997E-2</v>
      </c>
      <c r="AK376" s="71">
        <v>5.6533397999999999E-2</v>
      </c>
      <c r="AL376" s="71">
        <v>5.9077048E-2</v>
      </c>
      <c r="AM376" s="71">
        <v>6.1292843999999999E-2</v>
      </c>
      <c r="AN376" s="71">
        <v>7.2069728999999999E-2</v>
      </c>
      <c r="AO376" s="71">
        <v>0.30487912900000003</v>
      </c>
      <c r="AP376" s="71">
        <v>3.5586881000000001E-2</v>
      </c>
    </row>
    <row r="377" spans="1:42" x14ac:dyDescent="0.2">
      <c r="A377" t="s">
        <v>224</v>
      </c>
      <c r="B377" t="s">
        <v>102</v>
      </c>
      <c r="C377" t="s">
        <v>101</v>
      </c>
      <c r="D377" t="s">
        <v>100</v>
      </c>
      <c r="E377" s="71">
        <v>3.4760454000000003E-2</v>
      </c>
      <c r="F377" s="71">
        <v>3.5791852999999998E-2</v>
      </c>
      <c r="G377" s="71">
        <v>3.8164475000000003E-2</v>
      </c>
      <c r="H377" s="71">
        <v>4.1255214999999998E-2</v>
      </c>
      <c r="I377" s="71">
        <v>4.3122270999999997E-2</v>
      </c>
      <c r="J377" s="71">
        <v>4.4243910999999997E-2</v>
      </c>
      <c r="K377" s="71">
        <v>4.4950583000000002E-2</v>
      </c>
      <c r="L377" s="71">
        <v>7.3958009999999996E-3</v>
      </c>
      <c r="M377" s="71">
        <v>1.1628224E-2</v>
      </c>
      <c r="N377" s="71">
        <v>1.6568691E-2</v>
      </c>
      <c r="O377" s="71">
        <v>2.1590094000000001E-2</v>
      </c>
      <c r="P377" s="71">
        <v>2.4766422999999999E-2</v>
      </c>
      <c r="Q377" s="71">
        <v>2.6941232999999998E-2</v>
      </c>
      <c r="R377" s="71">
        <v>2.8539677999999999E-2</v>
      </c>
      <c r="S377" s="71">
        <v>6.3397283999999998E-2</v>
      </c>
      <c r="T377" s="71">
        <v>6.0578841000000001E-2</v>
      </c>
      <c r="U377" s="71">
        <v>6.0571168000000002E-2</v>
      </c>
      <c r="V377" s="71">
        <v>6.1304183999999998E-2</v>
      </c>
      <c r="W377" s="71">
        <v>6.1762292000000003E-2</v>
      </c>
      <c r="X377" s="71">
        <v>6.1465859999999997E-2</v>
      </c>
      <c r="Y377" s="71">
        <v>6.1394055000000003E-2</v>
      </c>
      <c r="Z377" s="71">
        <v>2.0516764E-2</v>
      </c>
      <c r="AA377" s="71">
        <v>2.1698446E-2</v>
      </c>
      <c r="AB377" s="71">
        <v>2.3660737000000001E-2</v>
      </c>
      <c r="AC377" s="71">
        <v>2.6659842999999999E-2</v>
      </c>
      <c r="AD377" s="71">
        <v>2.9114957E-2</v>
      </c>
      <c r="AE377" s="71">
        <v>3.0481500000000002E-2</v>
      </c>
      <c r="AF377" s="71">
        <v>3.1859726999999997E-2</v>
      </c>
      <c r="AG377" s="71">
        <v>4.9203670999999997E-2</v>
      </c>
      <c r="AH377" s="71">
        <v>5.0080357999999998E-2</v>
      </c>
      <c r="AI377" s="71">
        <v>5.2874254000000002E-2</v>
      </c>
      <c r="AJ377" s="71">
        <v>5.6058733999999999E-2</v>
      </c>
      <c r="AK377" s="71">
        <v>5.7320668999999998E-2</v>
      </c>
      <c r="AL377" s="71">
        <v>5.8190712999999998E-2</v>
      </c>
      <c r="AM377" s="71">
        <v>5.8208214000000001E-2</v>
      </c>
      <c r="AN377" s="71">
        <v>7.6507909999999998E-2</v>
      </c>
      <c r="AO377" s="71">
        <v>0.51259665600000004</v>
      </c>
      <c r="AP377" s="71">
        <v>-6.7926530000000001E-3</v>
      </c>
    </row>
    <row r="378" spans="1:42" x14ac:dyDescent="0.2">
      <c r="A378" t="s">
        <v>200</v>
      </c>
      <c r="B378" t="s">
        <v>102</v>
      </c>
      <c r="C378" t="s">
        <v>101</v>
      </c>
      <c r="D378" t="s">
        <v>100</v>
      </c>
      <c r="E378" s="71">
        <v>1.0698773999999999E-2</v>
      </c>
      <c r="F378" s="71">
        <v>1.2303926999999999E-2</v>
      </c>
      <c r="G378" s="71">
        <v>1.5997030999999998E-2</v>
      </c>
      <c r="H378" s="71">
        <v>2.1001079999999998E-2</v>
      </c>
      <c r="I378" s="71">
        <v>2.4309376000000001E-2</v>
      </c>
      <c r="J378" s="71">
        <v>2.6521543000000002E-2</v>
      </c>
      <c r="K378" s="71">
        <v>2.8064826000000001E-2</v>
      </c>
      <c r="L378" s="71">
        <v>-2.1844846000000001E-2</v>
      </c>
      <c r="M378" s="71">
        <v>-1.6863761000000001E-2</v>
      </c>
      <c r="N378" s="71">
        <v>-9.8485250000000003E-3</v>
      </c>
      <c r="O378" s="71">
        <v>-1.7354689999999999E-3</v>
      </c>
      <c r="P378" s="71">
        <v>3.4771429999999998E-3</v>
      </c>
      <c r="Q378" s="71">
        <v>7.5067509999999999E-3</v>
      </c>
      <c r="R378" s="71">
        <v>1.0130181E-2</v>
      </c>
      <c r="S378" s="71">
        <v>4.4433998000000002E-2</v>
      </c>
      <c r="T378" s="71">
        <v>4.1747693000000002E-2</v>
      </c>
      <c r="U378" s="71">
        <v>4.2383259E-2</v>
      </c>
      <c r="V378" s="71">
        <v>4.4594196000000003E-2</v>
      </c>
      <c r="W378" s="71">
        <v>4.5404103000000001E-2</v>
      </c>
      <c r="X378" s="71">
        <v>4.6243439999999997E-2</v>
      </c>
      <c r="Y378" s="71">
        <v>4.6266667999999997E-2</v>
      </c>
      <c r="Z378" s="71">
        <v>-5.6608240000000001E-3</v>
      </c>
      <c r="AA378" s="71">
        <v>-3.9149340000000001E-3</v>
      </c>
      <c r="AB378" s="71">
        <v>4.7957099999999998E-4</v>
      </c>
      <c r="AC378" s="71">
        <v>5.6613159999999996E-3</v>
      </c>
      <c r="AD378" s="71">
        <v>9.0754200000000007E-3</v>
      </c>
      <c r="AE378" s="71">
        <v>1.2598913E-2</v>
      </c>
      <c r="AF378" s="71">
        <v>1.4987557E-2</v>
      </c>
      <c r="AG378" s="71">
        <v>2.7328116999999999E-2</v>
      </c>
      <c r="AH378" s="71">
        <v>2.8787546000000001E-2</v>
      </c>
      <c r="AI378" s="71">
        <v>3.1755910999999998E-2</v>
      </c>
      <c r="AJ378" s="71">
        <v>3.6575594000000003E-2</v>
      </c>
      <c r="AK378" s="71">
        <v>3.9774021999999999E-2</v>
      </c>
      <c r="AL378" s="71">
        <v>4.0636327E-2</v>
      </c>
      <c r="AM378" s="71">
        <v>4.1311215999999998E-2</v>
      </c>
      <c r="AN378" s="71">
        <v>9.3753869000000004E-2</v>
      </c>
      <c r="AO378" s="71">
        <v>-3.4642025E-2</v>
      </c>
      <c r="AP378" s="71">
        <v>0.403124131</v>
      </c>
    </row>
    <row r="379" spans="1:42" x14ac:dyDescent="0.2">
      <c r="A379" t="s">
        <v>259</v>
      </c>
      <c r="B379" t="s">
        <v>102</v>
      </c>
      <c r="C379" t="s">
        <v>101</v>
      </c>
      <c r="D379" t="s">
        <v>100</v>
      </c>
      <c r="E379" s="71">
        <v>3.3974507000000001E-2</v>
      </c>
      <c r="F379" s="71">
        <v>3.4687616999999997E-2</v>
      </c>
      <c r="G379" s="71">
        <v>3.6179640999999998E-2</v>
      </c>
      <c r="H379" s="71">
        <v>3.7901499999999998E-2</v>
      </c>
      <c r="I379" s="71">
        <v>3.8856008999999997E-2</v>
      </c>
      <c r="J379" s="71">
        <v>3.9423564000000001E-2</v>
      </c>
      <c r="K379" s="71">
        <v>3.9794186000000002E-2</v>
      </c>
      <c r="L379" s="71">
        <v>4.6658710000000003E-3</v>
      </c>
      <c r="M379" s="71">
        <v>8.7338050000000007E-3</v>
      </c>
      <c r="N379" s="71">
        <v>1.2838729E-2</v>
      </c>
      <c r="O379" s="71">
        <v>1.7038728999999999E-2</v>
      </c>
      <c r="P379" s="71">
        <v>1.9858210000000001E-2</v>
      </c>
      <c r="Q379" s="71">
        <v>2.1761288E-2</v>
      </c>
      <c r="R379" s="71">
        <v>2.3354270999999999E-2</v>
      </c>
      <c r="S379" s="71">
        <v>6.4422937E-2</v>
      </c>
      <c r="T379" s="71">
        <v>6.1663796999999999E-2</v>
      </c>
      <c r="U379" s="71">
        <v>6.0440239999999999E-2</v>
      </c>
      <c r="V379" s="71">
        <v>5.9012286999999997E-2</v>
      </c>
      <c r="W379" s="71">
        <v>5.8286106999999997E-2</v>
      </c>
      <c r="X379" s="71">
        <v>5.7253326E-2</v>
      </c>
      <c r="Y379" s="71">
        <v>5.6609527999999999E-2</v>
      </c>
      <c r="Z379" s="71">
        <v>1.8175693E-2</v>
      </c>
      <c r="AA379" s="71">
        <v>1.9649758E-2</v>
      </c>
      <c r="AB379" s="71">
        <v>2.1345434999999999E-2</v>
      </c>
      <c r="AC379" s="71">
        <v>2.3609633000000001E-2</v>
      </c>
      <c r="AD379" s="71">
        <v>2.5286184999999999E-2</v>
      </c>
      <c r="AE379" s="71">
        <v>2.6368767000000001E-2</v>
      </c>
      <c r="AF379" s="71">
        <v>2.7777621999999998E-2</v>
      </c>
      <c r="AG379" s="71">
        <v>5.0019186E-2</v>
      </c>
      <c r="AH379" s="71">
        <v>4.9948079999999999E-2</v>
      </c>
      <c r="AI379" s="71">
        <v>5.1229808000000002E-2</v>
      </c>
      <c r="AJ379" s="71">
        <v>5.2393390999999997E-2</v>
      </c>
      <c r="AK379" s="71">
        <v>5.2605931000000002E-2</v>
      </c>
      <c r="AL379" s="71">
        <v>5.2644884000000003E-2</v>
      </c>
      <c r="AM379" s="71">
        <v>5.1951707E-2</v>
      </c>
      <c r="AN379" s="71">
        <v>8.3045624999999998E-2</v>
      </c>
      <c r="AO379" s="71">
        <v>0.16569231300000001</v>
      </c>
      <c r="AP379" s="71">
        <v>0.16498473899999999</v>
      </c>
    </row>
    <row r="380" spans="1:42" x14ac:dyDescent="0.2">
      <c r="A380" t="s">
        <v>288</v>
      </c>
      <c r="B380" t="s">
        <v>102</v>
      </c>
      <c r="C380" t="s">
        <v>101</v>
      </c>
      <c r="D380" t="s">
        <v>100</v>
      </c>
      <c r="E380" s="71">
        <v>4.2173721999999997E-2</v>
      </c>
      <c r="F380" s="71">
        <v>4.333041E-2</v>
      </c>
      <c r="G380" s="71">
        <v>4.6109298E-2</v>
      </c>
      <c r="H380" s="71">
        <v>5.0047495999999997E-2</v>
      </c>
      <c r="I380" s="71">
        <v>5.2727678E-2</v>
      </c>
      <c r="J380" s="71">
        <v>5.4541804999999999E-2</v>
      </c>
      <c r="K380" s="71">
        <v>5.5813649E-2</v>
      </c>
      <c r="L380" s="71">
        <v>9.0059660000000007E-3</v>
      </c>
      <c r="M380" s="71">
        <v>1.4370568E-2</v>
      </c>
      <c r="N380" s="71">
        <v>1.9807608000000001E-2</v>
      </c>
      <c r="O380" s="71">
        <v>2.7479481E-2</v>
      </c>
      <c r="P380" s="71">
        <v>3.1714193000000002E-2</v>
      </c>
      <c r="Q380" s="71">
        <v>3.5714040000000002E-2</v>
      </c>
      <c r="R380" s="71">
        <v>3.7991842999999997E-2</v>
      </c>
      <c r="S380" s="71">
        <v>7.6834955999999996E-2</v>
      </c>
      <c r="T380" s="71">
        <v>7.2939110000000001E-2</v>
      </c>
      <c r="U380" s="71">
        <v>7.2945847999999994E-2</v>
      </c>
      <c r="V380" s="71">
        <v>7.3529274000000006E-2</v>
      </c>
      <c r="W380" s="71">
        <v>7.3856131000000005E-2</v>
      </c>
      <c r="X380" s="71">
        <v>7.4040037000000003E-2</v>
      </c>
      <c r="Y380" s="71">
        <v>7.3999277000000002E-2</v>
      </c>
      <c r="Z380" s="71">
        <v>2.6914397999999999E-2</v>
      </c>
      <c r="AA380" s="71">
        <v>2.8497628000000001E-2</v>
      </c>
      <c r="AB380" s="71">
        <v>3.0144619000000001E-2</v>
      </c>
      <c r="AC380" s="71">
        <v>3.5059334999999997E-2</v>
      </c>
      <c r="AD380" s="71">
        <v>3.8324842999999997E-2</v>
      </c>
      <c r="AE380" s="71">
        <v>4.1134968000000001E-2</v>
      </c>
      <c r="AF380" s="71">
        <v>4.2877862000000003E-2</v>
      </c>
      <c r="AG380" s="71">
        <v>5.7660656999999997E-2</v>
      </c>
      <c r="AH380" s="71">
        <v>5.8377941000000003E-2</v>
      </c>
      <c r="AI380" s="71">
        <v>6.2322226000000001E-2</v>
      </c>
      <c r="AJ380" s="71">
        <v>6.5253197999999998E-2</v>
      </c>
      <c r="AK380" s="71">
        <v>6.7330814000000003E-2</v>
      </c>
      <c r="AL380" s="71">
        <v>6.8121686000000001E-2</v>
      </c>
      <c r="AM380" s="71">
        <v>6.8910117000000007E-2</v>
      </c>
      <c r="AN380" s="71">
        <v>9.4898555999999995E-2</v>
      </c>
      <c r="AO380" s="71">
        <v>0.328217918</v>
      </c>
      <c r="AP380" s="71">
        <v>0.175457207</v>
      </c>
    </row>
    <row r="381" spans="1:42" x14ac:dyDescent="0.2">
      <c r="A381" t="s">
        <v>272</v>
      </c>
      <c r="B381" t="s">
        <v>102</v>
      </c>
      <c r="C381" t="s">
        <v>101</v>
      </c>
      <c r="D381" t="s">
        <v>100</v>
      </c>
      <c r="E381" s="71">
        <v>2.6056030000000001E-2</v>
      </c>
      <c r="F381" s="71">
        <v>2.7916290999999999E-2</v>
      </c>
      <c r="G381" s="71">
        <v>3.2289722E-2</v>
      </c>
      <c r="H381" s="71">
        <v>3.8320162999999997E-2</v>
      </c>
      <c r="I381" s="71">
        <v>4.2334654999999999E-2</v>
      </c>
      <c r="J381" s="71">
        <v>4.5021393999999999E-2</v>
      </c>
      <c r="K381" s="71">
        <v>4.6895245000000002E-2</v>
      </c>
      <c r="L381" s="71">
        <v>-5.4819600000000003E-4</v>
      </c>
      <c r="M381" s="71">
        <v>4.1363909999999997E-3</v>
      </c>
      <c r="N381" s="71">
        <v>1.0802884E-2</v>
      </c>
      <c r="O381" s="71">
        <v>1.9163935E-2</v>
      </c>
      <c r="P381" s="71">
        <v>2.4528952999999999E-2</v>
      </c>
      <c r="Q381" s="71">
        <v>2.8437349000000001E-2</v>
      </c>
      <c r="R381" s="71">
        <v>3.1513258000000002E-2</v>
      </c>
      <c r="S381" s="71">
        <v>5.3309324999999998E-2</v>
      </c>
      <c r="T381" s="71">
        <v>5.2137967E-2</v>
      </c>
      <c r="U381" s="71">
        <v>5.4293433000000002E-2</v>
      </c>
      <c r="V381" s="71">
        <v>5.7738004000000002E-2</v>
      </c>
      <c r="W381" s="71">
        <v>6.0135182000000002E-2</v>
      </c>
      <c r="X381" s="71">
        <v>6.1651895999999998E-2</v>
      </c>
      <c r="Y381" s="71">
        <v>6.2699858999999997E-2</v>
      </c>
      <c r="Z381" s="71">
        <v>1.2638699999999999E-2</v>
      </c>
      <c r="AA381" s="71">
        <v>1.4998717999999999E-2</v>
      </c>
      <c r="AB381" s="71">
        <v>1.9178242000000002E-2</v>
      </c>
      <c r="AC381" s="71">
        <v>2.4531146E-2</v>
      </c>
      <c r="AD381" s="71">
        <v>2.8646680000000001E-2</v>
      </c>
      <c r="AE381" s="71">
        <v>3.2264495999999997E-2</v>
      </c>
      <c r="AF381" s="71">
        <v>3.4621642000000001E-2</v>
      </c>
      <c r="AG381" s="71">
        <v>3.9651734000000001E-2</v>
      </c>
      <c r="AH381" s="71">
        <v>4.0998719000000003E-2</v>
      </c>
      <c r="AI381" s="71">
        <v>4.5570421999999999E-2</v>
      </c>
      <c r="AJ381" s="71">
        <v>5.2295372999999999E-2</v>
      </c>
      <c r="AK381" s="71">
        <v>5.6205434999999998E-2</v>
      </c>
      <c r="AL381" s="71">
        <v>5.7936513000000002E-2</v>
      </c>
      <c r="AM381" s="71">
        <v>5.9314802E-2</v>
      </c>
      <c r="AN381" s="71">
        <v>7.5248422999999995E-2</v>
      </c>
      <c r="AO381" s="71">
        <v>0.56716065400000004</v>
      </c>
      <c r="AP381" s="71">
        <v>8.9105269000000001E-2</v>
      </c>
    </row>
    <row r="382" spans="1:42" x14ac:dyDescent="0.2">
      <c r="A382" t="s">
        <v>178</v>
      </c>
      <c r="B382" t="s">
        <v>102</v>
      </c>
      <c r="C382" t="s">
        <v>101</v>
      </c>
      <c r="D382" t="s">
        <v>100</v>
      </c>
      <c r="E382" s="71">
        <v>3.1986572999999997E-2</v>
      </c>
      <c r="F382" s="71">
        <v>3.4041622000000001E-2</v>
      </c>
      <c r="G382" s="71">
        <v>3.8689712000000001E-2</v>
      </c>
      <c r="H382" s="71">
        <v>4.4900873000000001E-2</v>
      </c>
      <c r="I382" s="71">
        <v>4.8981049999999998E-2</v>
      </c>
      <c r="J382" s="71">
        <v>5.1704862999999997E-2</v>
      </c>
      <c r="K382" s="71">
        <v>5.3604342999999999E-2</v>
      </c>
      <c r="L382" s="71">
        <v>-4.988307E-3</v>
      </c>
      <c r="M382" s="71">
        <v>1.7482299999999999E-3</v>
      </c>
      <c r="N382" s="71">
        <v>9.9194469999999996E-3</v>
      </c>
      <c r="O382" s="71">
        <v>1.9169199000000001E-2</v>
      </c>
      <c r="P382" s="71">
        <v>2.5477992000000001E-2</v>
      </c>
      <c r="Q382" s="71">
        <v>2.9979847E-2</v>
      </c>
      <c r="R382" s="71">
        <v>3.3586501999999997E-2</v>
      </c>
      <c r="S382" s="71">
        <v>7.0447587000000006E-2</v>
      </c>
      <c r="T382" s="71">
        <v>6.8420484000000004E-2</v>
      </c>
      <c r="U382" s="71">
        <v>6.8609100000000006E-2</v>
      </c>
      <c r="V382" s="71">
        <v>7.1066080000000004E-2</v>
      </c>
      <c r="W382" s="71">
        <v>7.3066686000000006E-2</v>
      </c>
      <c r="X382" s="71">
        <v>7.3382415000000006E-2</v>
      </c>
      <c r="Y382" s="71">
        <v>7.3694101999999997E-2</v>
      </c>
      <c r="Z382" s="71">
        <v>1.4255797000000001E-2</v>
      </c>
      <c r="AA382" s="71">
        <v>1.5910601E-2</v>
      </c>
      <c r="AB382" s="71">
        <v>2.0449293E-2</v>
      </c>
      <c r="AC382" s="71">
        <v>2.7298809E-2</v>
      </c>
      <c r="AD382" s="71">
        <v>3.2418902999999999E-2</v>
      </c>
      <c r="AE382" s="71">
        <v>3.6098682999999999E-2</v>
      </c>
      <c r="AF382" s="71">
        <v>3.8783034000000001E-2</v>
      </c>
      <c r="AG382" s="71">
        <v>5.0028107000000002E-2</v>
      </c>
      <c r="AH382" s="71">
        <v>5.2497074999999997E-2</v>
      </c>
      <c r="AI382" s="71">
        <v>5.7257249000000003E-2</v>
      </c>
      <c r="AJ382" s="71">
        <v>6.2805479999999997E-2</v>
      </c>
      <c r="AK382" s="71">
        <v>6.5809823000000003E-2</v>
      </c>
      <c r="AL382" s="71">
        <v>6.7546995999999998E-2</v>
      </c>
      <c r="AM382" s="71">
        <v>6.8637797E-2</v>
      </c>
      <c r="AN382" s="71">
        <v>0.105910198</v>
      </c>
      <c r="AO382" s="71">
        <v>0.221271406</v>
      </c>
      <c r="AP382" s="71">
        <v>0.29873019299999998</v>
      </c>
    </row>
    <row r="383" spans="1:42" x14ac:dyDescent="0.2">
      <c r="A383" t="s">
        <v>191</v>
      </c>
      <c r="B383" t="s">
        <v>102</v>
      </c>
      <c r="C383" t="s">
        <v>101</v>
      </c>
      <c r="D383" t="s">
        <v>100</v>
      </c>
      <c r="E383" s="71">
        <v>5.2730777999999999E-2</v>
      </c>
      <c r="F383" s="71">
        <v>5.4277279999999997E-2</v>
      </c>
      <c r="G383" s="71">
        <v>5.8274367000000001E-2</v>
      </c>
      <c r="H383" s="71">
        <v>6.4410427000000006E-2</v>
      </c>
      <c r="I383" s="71">
        <v>6.8835238000000007E-2</v>
      </c>
      <c r="J383" s="71">
        <v>7.1916916999999997E-2</v>
      </c>
      <c r="K383" s="71">
        <v>7.4106910999999998E-2</v>
      </c>
      <c r="L383" s="71">
        <v>1.5275011999999999E-2</v>
      </c>
      <c r="M383" s="71">
        <v>2.1263603999999998E-2</v>
      </c>
      <c r="N383" s="71">
        <v>2.9080721E-2</v>
      </c>
      <c r="O383" s="71">
        <v>3.8641026000000002E-2</v>
      </c>
      <c r="P383" s="71">
        <v>4.5380125E-2</v>
      </c>
      <c r="Q383" s="71">
        <v>5.0200790000000002E-2</v>
      </c>
      <c r="R383" s="71">
        <v>5.3945844E-2</v>
      </c>
      <c r="S383" s="71">
        <v>9.1254671999999995E-2</v>
      </c>
      <c r="T383" s="71">
        <v>8.8001258999999998E-2</v>
      </c>
      <c r="U383" s="71">
        <v>8.7999938999999999E-2</v>
      </c>
      <c r="V383" s="71">
        <v>9.0702211000000005E-2</v>
      </c>
      <c r="W383" s="71">
        <v>9.2932951E-2</v>
      </c>
      <c r="X383" s="71">
        <v>9.4241816000000006E-2</v>
      </c>
      <c r="Y383" s="71">
        <v>9.4726560000000001E-2</v>
      </c>
      <c r="Z383" s="71">
        <v>3.4523151000000002E-2</v>
      </c>
      <c r="AA383" s="71">
        <v>3.5666442E-2</v>
      </c>
      <c r="AB383" s="71">
        <v>3.9624235000000001E-2</v>
      </c>
      <c r="AC383" s="71">
        <v>4.6808107000000002E-2</v>
      </c>
      <c r="AD383" s="71">
        <v>5.2284905999999999E-2</v>
      </c>
      <c r="AE383" s="71">
        <v>5.6221066E-2</v>
      </c>
      <c r="AF383" s="71">
        <v>5.8365488E-2</v>
      </c>
      <c r="AG383" s="71">
        <v>7.1259765000000003E-2</v>
      </c>
      <c r="AH383" s="71">
        <v>7.3223559999999993E-2</v>
      </c>
      <c r="AI383" s="71">
        <v>7.7260098999999999E-2</v>
      </c>
      <c r="AJ383" s="71">
        <v>8.2309572999999997E-2</v>
      </c>
      <c r="AK383" s="71">
        <v>8.5646640999999996E-2</v>
      </c>
      <c r="AL383" s="71">
        <v>8.7846614000000003E-2</v>
      </c>
      <c r="AM383" s="71">
        <v>9.0083024999999997E-2</v>
      </c>
      <c r="AN383" s="71">
        <v>0.10351479199999999</v>
      </c>
      <c r="AO383" s="71">
        <v>0.454801118</v>
      </c>
      <c r="AP383" s="71">
        <v>0.28042194399999998</v>
      </c>
    </row>
    <row r="384" spans="1:42" x14ac:dyDescent="0.2">
      <c r="A384" t="s">
        <v>254</v>
      </c>
      <c r="B384" t="s">
        <v>102</v>
      </c>
      <c r="C384" t="s">
        <v>101</v>
      </c>
      <c r="D384" t="s">
        <v>100</v>
      </c>
      <c r="E384" s="71">
        <v>2.9988626000000001E-2</v>
      </c>
      <c r="F384" s="71">
        <v>3.2566406999999999E-2</v>
      </c>
      <c r="G384" s="71">
        <v>3.8494328000000001E-2</v>
      </c>
      <c r="H384" s="71">
        <v>4.6396830999999999E-2</v>
      </c>
      <c r="I384" s="71">
        <v>5.1479676000000002E-2</v>
      </c>
      <c r="J384" s="71">
        <v>5.4806687999999999E-2</v>
      </c>
      <c r="K384" s="71">
        <v>5.7098367999999997E-2</v>
      </c>
      <c r="L384" s="71">
        <v>-1.3730509999999999E-3</v>
      </c>
      <c r="M384" s="71">
        <v>5.2098839999999997E-3</v>
      </c>
      <c r="N384" s="71">
        <v>1.3891041E-2</v>
      </c>
      <c r="O384" s="71">
        <v>2.4214204E-2</v>
      </c>
      <c r="P384" s="71">
        <v>3.0909108000000001E-2</v>
      </c>
      <c r="Q384" s="71">
        <v>3.5744016000000003E-2</v>
      </c>
      <c r="R384" s="71">
        <v>3.9205202000000001E-2</v>
      </c>
      <c r="S384" s="71">
        <v>6.2063212E-2</v>
      </c>
      <c r="T384" s="71">
        <v>6.0891692999999997E-2</v>
      </c>
      <c r="U384" s="71">
        <v>6.3687122999999998E-2</v>
      </c>
      <c r="V384" s="71">
        <v>6.9286257000000004E-2</v>
      </c>
      <c r="W384" s="71">
        <v>7.2693100999999996E-2</v>
      </c>
      <c r="X384" s="71">
        <v>7.4520445000000005E-2</v>
      </c>
      <c r="Y384" s="71">
        <v>7.5521627999999993E-2</v>
      </c>
      <c r="Z384" s="71">
        <v>1.3923039E-2</v>
      </c>
      <c r="AA384" s="71">
        <v>1.6957928000000001E-2</v>
      </c>
      <c r="AB384" s="71">
        <v>2.3028527999999999E-2</v>
      </c>
      <c r="AC384" s="71">
        <v>3.0783298000000001E-2</v>
      </c>
      <c r="AD384" s="71">
        <v>3.6238885999999998E-2</v>
      </c>
      <c r="AE384" s="71">
        <v>3.9153082999999998E-2</v>
      </c>
      <c r="AF384" s="71">
        <v>4.2725552E-2</v>
      </c>
      <c r="AG384" s="71">
        <v>4.6309402E-2</v>
      </c>
      <c r="AH384" s="71">
        <v>4.8415119E-2</v>
      </c>
      <c r="AI384" s="71">
        <v>5.4194535000000002E-2</v>
      </c>
      <c r="AJ384" s="71">
        <v>6.2247446999999997E-2</v>
      </c>
      <c r="AK384" s="71">
        <v>6.6945138000000001E-2</v>
      </c>
      <c r="AL384" s="71">
        <v>7.0696649E-2</v>
      </c>
      <c r="AM384" s="71">
        <v>7.1669821999999994E-2</v>
      </c>
      <c r="AN384" s="71">
        <v>8.8221126999999996E-2</v>
      </c>
      <c r="AO384" s="71">
        <v>0.30265871100000002</v>
      </c>
      <c r="AP384" s="71">
        <v>0.46527098500000003</v>
      </c>
    </row>
    <row r="385" spans="1:42" x14ac:dyDescent="0.2">
      <c r="A385" t="s">
        <v>103</v>
      </c>
      <c r="B385" t="s">
        <v>102</v>
      </c>
      <c r="C385" t="s">
        <v>101</v>
      </c>
      <c r="D385" t="s">
        <v>100</v>
      </c>
      <c r="E385" s="71">
        <v>6.3485004999999997E-2</v>
      </c>
      <c r="F385" s="71">
        <v>6.4738013999999997E-2</v>
      </c>
      <c r="G385" s="71">
        <v>6.7930200999999996E-2</v>
      </c>
      <c r="H385" s="71">
        <v>7.2772363000000007E-2</v>
      </c>
      <c r="I385" s="71">
        <v>7.6245645000000001E-2</v>
      </c>
      <c r="J385" s="71">
        <v>7.8662373999999993E-2</v>
      </c>
      <c r="K385" s="71">
        <v>8.0379823000000003E-2</v>
      </c>
      <c r="L385" s="71">
        <v>1.0135188E-2</v>
      </c>
      <c r="M385" s="71">
        <v>1.8236110999999999E-2</v>
      </c>
      <c r="N385" s="71">
        <v>2.6773194E-2</v>
      </c>
      <c r="O385" s="71">
        <v>3.6677141000000003E-2</v>
      </c>
      <c r="P385" s="71">
        <v>4.3582878999999998E-2</v>
      </c>
      <c r="Q385" s="71">
        <v>4.8866583999999998E-2</v>
      </c>
      <c r="R385" s="71">
        <v>5.2303342000000003E-2</v>
      </c>
      <c r="S385" s="71">
        <v>0.11895235999999999</v>
      </c>
      <c r="T385" s="71">
        <v>0.112326724</v>
      </c>
      <c r="U385" s="71">
        <v>0.110801679</v>
      </c>
      <c r="V385" s="71">
        <v>0.110042238</v>
      </c>
      <c r="W385" s="71">
        <v>0.10994965299999999</v>
      </c>
      <c r="X385" s="71">
        <v>0.10931877299999999</v>
      </c>
      <c r="Y385" s="71">
        <v>0.109015846</v>
      </c>
      <c r="Z385" s="71">
        <v>3.9081312999999999E-2</v>
      </c>
      <c r="AA385" s="71">
        <v>4.1014813999999997E-2</v>
      </c>
      <c r="AB385" s="71">
        <v>4.4455674000000001E-2</v>
      </c>
      <c r="AC385" s="71">
        <v>5.0454664000000003E-2</v>
      </c>
      <c r="AD385" s="71">
        <v>5.5109047000000001E-2</v>
      </c>
      <c r="AE385" s="71">
        <v>5.8325771999999998E-2</v>
      </c>
      <c r="AF385" s="71">
        <v>6.0920294E-2</v>
      </c>
      <c r="AG385" s="71">
        <v>8.8463534999999996E-2</v>
      </c>
      <c r="AH385" s="71">
        <v>8.9003243999999995E-2</v>
      </c>
      <c r="AI385" s="71">
        <v>9.1933811000000004E-2</v>
      </c>
      <c r="AJ385" s="71">
        <v>9.5565684999999997E-2</v>
      </c>
      <c r="AK385" s="71">
        <v>9.7806969999999993E-2</v>
      </c>
      <c r="AL385" s="71">
        <v>9.9390698E-2</v>
      </c>
      <c r="AM385" s="71">
        <v>0.100197313</v>
      </c>
      <c r="AN385" s="71">
        <v>0.145804665</v>
      </c>
      <c r="AO385" s="71">
        <v>0.25972435599999999</v>
      </c>
      <c r="AP385" s="71">
        <v>0.55607020299999999</v>
      </c>
    </row>
    <row r="386" spans="1:42" x14ac:dyDescent="0.2">
      <c r="A386" t="s">
        <v>214</v>
      </c>
      <c r="B386" t="s">
        <v>102</v>
      </c>
      <c r="C386" t="s">
        <v>101</v>
      </c>
      <c r="D386" t="s">
        <v>100</v>
      </c>
      <c r="E386" s="71">
        <v>4.5295693999999997E-2</v>
      </c>
      <c r="F386" s="71">
        <v>4.5915343999999997E-2</v>
      </c>
      <c r="G386" s="71">
        <v>4.7446110999999999E-2</v>
      </c>
      <c r="H386" s="71">
        <v>4.9704412000000003E-2</v>
      </c>
      <c r="I386" s="71">
        <v>5.1307657E-2</v>
      </c>
      <c r="J386" s="71">
        <v>5.2427508999999997E-2</v>
      </c>
      <c r="K386" s="71">
        <v>5.3229788E-2</v>
      </c>
      <c r="L386" s="71">
        <v>2.2590761000000001E-2</v>
      </c>
      <c r="M386" s="71">
        <v>2.5893024000000001E-2</v>
      </c>
      <c r="N386" s="71">
        <v>2.8833925999999999E-2</v>
      </c>
      <c r="O386" s="71">
        <v>3.2355129000000003E-2</v>
      </c>
      <c r="P386" s="71">
        <v>3.4902180999999997E-2</v>
      </c>
      <c r="Q386" s="71">
        <v>3.7046638999999999E-2</v>
      </c>
      <c r="R386" s="71">
        <v>3.8335435000000001E-2</v>
      </c>
      <c r="S386" s="71">
        <v>6.8767028999999993E-2</v>
      </c>
      <c r="T386" s="71">
        <v>6.6205707000000003E-2</v>
      </c>
      <c r="U386" s="71">
        <v>6.6380961000000002E-2</v>
      </c>
      <c r="V386" s="71">
        <v>6.7217447999999999E-2</v>
      </c>
      <c r="W386" s="71">
        <v>6.767476E-2</v>
      </c>
      <c r="X386" s="71">
        <v>6.8386095999999993E-2</v>
      </c>
      <c r="Y386" s="71">
        <v>6.8189054999999998E-2</v>
      </c>
      <c r="Z386" s="71">
        <v>3.6315175999999998E-2</v>
      </c>
      <c r="AA386" s="71">
        <v>3.6101501000000001E-2</v>
      </c>
      <c r="AB386" s="71">
        <v>3.6262699000000002E-2</v>
      </c>
      <c r="AC386" s="71">
        <v>3.7269302999999997E-2</v>
      </c>
      <c r="AD386" s="71">
        <v>3.9272145000000001E-2</v>
      </c>
      <c r="AE386" s="71">
        <v>4.0476552999999998E-2</v>
      </c>
      <c r="AF386" s="71">
        <v>4.1473510999999998E-2</v>
      </c>
      <c r="AG386" s="71">
        <v>5.4354274000000001E-2</v>
      </c>
      <c r="AH386" s="71">
        <v>5.5822425000000002E-2</v>
      </c>
      <c r="AI386" s="71">
        <v>5.8750638000000001E-2</v>
      </c>
      <c r="AJ386" s="71">
        <v>6.2289057000000002E-2</v>
      </c>
      <c r="AK386" s="71">
        <v>6.3483047000000001E-2</v>
      </c>
      <c r="AL386" s="71">
        <v>6.4516239000000003E-2</v>
      </c>
      <c r="AM386" s="71">
        <v>6.5119064000000004E-2</v>
      </c>
      <c r="AN386" s="71">
        <v>6.7621417000000003E-2</v>
      </c>
      <c r="AO386" s="71">
        <v>0.56853859100000004</v>
      </c>
      <c r="AP386" s="71">
        <v>0.46780481600000001</v>
      </c>
    </row>
    <row r="387" spans="1:42" x14ac:dyDescent="0.2">
      <c r="A387" t="s">
        <v>164</v>
      </c>
      <c r="B387" t="s">
        <v>102</v>
      </c>
      <c r="C387" t="s">
        <v>101</v>
      </c>
      <c r="D387" t="s">
        <v>100</v>
      </c>
      <c r="E387" s="71">
        <v>2.4532178000000002E-2</v>
      </c>
      <c r="F387" s="71">
        <v>2.6166775999999999E-2</v>
      </c>
      <c r="G387" s="71">
        <v>3.0196884E-2</v>
      </c>
      <c r="H387" s="71">
        <v>3.6125877000000001E-2</v>
      </c>
      <c r="I387" s="71">
        <v>4.0322402E-2</v>
      </c>
      <c r="J387" s="71">
        <v>4.3246725E-2</v>
      </c>
      <c r="K387" s="71">
        <v>4.5338610000000001E-2</v>
      </c>
      <c r="L387" s="71">
        <v>4.286509E-3</v>
      </c>
      <c r="M387" s="71">
        <v>8.1689529999999996E-3</v>
      </c>
      <c r="N387" s="71">
        <v>1.4192069999999999E-2</v>
      </c>
      <c r="O387" s="71">
        <v>2.1221719999999999E-2</v>
      </c>
      <c r="P387" s="71">
        <v>2.6514581999999998E-2</v>
      </c>
      <c r="Q387" s="71">
        <v>3.0256320999999999E-2</v>
      </c>
      <c r="R387" s="71">
        <v>3.3248491999999998E-2</v>
      </c>
      <c r="S387" s="71">
        <v>4.5292705000000003E-2</v>
      </c>
      <c r="T387" s="71">
        <v>4.4268626999999998E-2</v>
      </c>
      <c r="U387" s="71">
        <v>4.6695496000000003E-2</v>
      </c>
      <c r="V387" s="71">
        <v>5.1359266000000001E-2</v>
      </c>
      <c r="W387" s="71">
        <v>5.4384388999999998E-2</v>
      </c>
      <c r="X387" s="71">
        <v>5.6590263000000002E-2</v>
      </c>
      <c r="Y387" s="71">
        <v>5.7599688000000003E-2</v>
      </c>
      <c r="Z387" s="71">
        <v>1.3840237E-2</v>
      </c>
      <c r="AA387" s="71">
        <v>1.5600232E-2</v>
      </c>
      <c r="AB387" s="71">
        <v>1.9430304999999998E-2</v>
      </c>
      <c r="AC387" s="71">
        <v>2.5608748000000001E-2</v>
      </c>
      <c r="AD387" s="71">
        <v>3.0030866E-2</v>
      </c>
      <c r="AE387" s="71">
        <v>3.3171283000000003E-2</v>
      </c>
      <c r="AF387" s="71">
        <v>3.5616652999999998E-2</v>
      </c>
      <c r="AG387" s="71">
        <v>3.5337119E-2</v>
      </c>
      <c r="AH387" s="71">
        <v>3.6843750000000001E-2</v>
      </c>
      <c r="AI387" s="71">
        <v>4.1077486000000003E-2</v>
      </c>
      <c r="AJ387" s="71">
        <v>4.6750961000000001E-2</v>
      </c>
      <c r="AK387" s="71">
        <v>5.0716967000000002E-2</v>
      </c>
      <c r="AL387" s="71">
        <v>5.3420967E-2</v>
      </c>
      <c r="AM387" s="71">
        <v>5.5152132999999999E-2</v>
      </c>
      <c r="AN387" s="71">
        <v>5.6947019000000001E-2</v>
      </c>
      <c r="AO387" s="71">
        <v>0.517506519</v>
      </c>
      <c r="AP387" s="71">
        <v>0.222143488</v>
      </c>
    </row>
    <row r="388" spans="1:42" x14ac:dyDescent="0.2">
      <c r="A388" t="s">
        <v>345</v>
      </c>
      <c r="B388" t="s">
        <v>102</v>
      </c>
      <c r="C388" t="s">
        <v>101</v>
      </c>
      <c r="D388" t="s">
        <v>100</v>
      </c>
      <c r="E388" s="71">
        <v>1.9541480999999999E-2</v>
      </c>
      <c r="F388" s="71">
        <v>2.2954084999999999E-2</v>
      </c>
      <c r="G388" s="71">
        <v>3.114126E-2</v>
      </c>
      <c r="H388" s="71">
        <v>4.2807558000000002E-2</v>
      </c>
      <c r="I388" s="71">
        <v>5.0797798999999998E-2</v>
      </c>
      <c r="J388" s="71">
        <v>5.6229451E-2</v>
      </c>
      <c r="K388" s="71">
        <v>6.0048440000000002E-2</v>
      </c>
      <c r="L388" s="71">
        <v>-7.2280290000000004E-3</v>
      </c>
      <c r="M388" s="71">
        <v>-9.1741700000000002E-4</v>
      </c>
      <c r="N388" s="71">
        <v>1.0143641E-2</v>
      </c>
      <c r="O388" s="71">
        <v>2.4274014E-2</v>
      </c>
      <c r="P388" s="71">
        <v>3.3072679000000001E-2</v>
      </c>
      <c r="Q388" s="71">
        <v>4.0008966999999999E-2</v>
      </c>
      <c r="R388" s="71">
        <v>4.4893835999999999E-2</v>
      </c>
      <c r="S388" s="71">
        <v>4.7045126999999999E-2</v>
      </c>
      <c r="T388" s="71">
        <v>4.7067316999999997E-2</v>
      </c>
      <c r="U388" s="71">
        <v>5.2530957000000003E-2</v>
      </c>
      <c r="V388" s="71">
        <v>6.1613276000000002E-2</v>
      </c>
      <c r="W388" s="71">
        <v>6.8243019000000002E-2</v>
      </c>
      <c r="X388" s="71">
        <v>7.2810871999999999E-2</v>
      </c>
      <c r="Y388" s="71">
        <v>7.5520856999999997E-2</v>
      </c>
      <c r="Z388" s="71">
        <v>5.9801100000000003E-3</v>
      </c>
      <c r="AA388" s="71">
        <v>9.9600390000000004E-3</v>
      </c>
      <c r="AB388" s="71">
        <v>1.7997874000000001E-2</v>
      </c>
      <c r="AC388" s="71">
        <v>3.0057483999999999E-2</v>
      </c>
      <c r="AD388" s="71">
        <v>3.8882884999999999E-2</v>
      </c>
      <c r="AE388" s="71">
        <v>4.4520220999999999E-2</v>
      </c>
      <c r="AF388" s="71">
        <v>4.8667331000000001E-2</v>
      </c>
      <c r="AG388" s="71">
        <v>3.3286339999999998E-2</v>
      </c>
      <c r="AH388" s="71">
        <v>3.6115860999999999E-2</v>
      </c>
      <c r="AI388" s="71">
        <v>4.4454925999999999E-2</v>
      </c>
      <c r="AJ388" s="71">
        <v>5.5715835999999998E-2</v>
      </c>
      <c r="AK388" s="71">
        <v>6.2849707000000005E-2</v>
      </c>
      <c r="AL388" s="71">
        <v>6.8070150999999995E-2</v>
      </c>
      <c r="AM388" s="71">
        <v>7.1553324000000001E-2</v>
      </c>
      <c r="AN388" s="71">
        <v>7.5046527000000002E-2</v>
      </c>
      <c r="AO388" s="71">
        <v>0.45543957099999999</v>
      </c>
      <c r="AP388" s="71">
        <v>0.30815415499999999</v>
      </c>
    </row>
    <row r="391" spans="1:42" ht="16.5" x14ac:dyDescent="0.3">
      <c r="A391" s="68" t="s">
        <v>444</v>
      </c>
    </row>
  </sheetData>
  <autoFilter ref="A3:AP388"/>
  <mergeCells count="7">
    <mergeCell ref="A1:D1"/>
    <mergeCell ref="AG2:AM2"/>
    <mergeCell ref="AO2:AP2"/>
    <mergeCell ref="E2:K2"/>
    <mergeCell ref="L2:R2"/>
    <mergeCell ref="S2:Y2"/>
    <mergeCell ref="Z2:AF2"/>
  </mergeCells>
  <hyperlinks>
    <hyperlink ref="C2"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6"/>
  </sheetPr>
  <dimension ref="A1:AP37"/>
  <sheetViews>
    <sheetView zoomScaleNormal="100" workbookViewId="0">
      <pane ySplit="3" topLeftCell="A25" activePane="bottomLeft" state="frozen"/>
      <selection pane="bottomLeft" activeCell="G21" sqref="G21"/>
    </sheetView>
  </sheetViews>
  <sheetFormatPr defaultRowHeight="12.75" x14ac:dyDescent="0.2"/>
  <cols>
    <col min="1" max="1" width="14.85546875" customWidth="1"/>
    <col min="2" max="2" width="25" customWidth="1"/>
    <col min="3" max="3" width="46.85546875" bestFit="1" customWidth="1"/>
    <col min="4" max="4" width="61" bestFit="1" customWidth="1"/>
    <col min="7" max="7" width="9.140625" style="76"/>
    <col min="9" max="9" width="9.140625" customWidth="1"/>
    <col min="40" max="40" width="10.28515625" customWidth="1"/>
    <col min="41" max="41" width="17.5703125" customWidth="1"/>
    <col min="42" max="42" width="10.85546875" customWidth="1"/>
  </cols>
  <sheetData>
    <row r="1" spans="1:42" s="49" customFormat="1" ht="33.75" customHeight="1" x14ac:dyDescent="0.2">
      <c r="A1" s="85" t="s">
        <v>319</v>
      </c>
      <c r="B1" s="85"/>
      <c r="C1" s="85"/>
      <c r="D1" s="85"/>
      <c r="G1" s="73"/>
    </row>
    <row r="2" spans="1:42" s="47" customFormat="1" ht="19.5" customHeight="1" x14ac:dyDescent="0.2">
      <c r="A2" s="48" t="s">
        <v>397</v>
      </c>
      <c r="C2" s="3" t="s">
        <v>2</v>
      </c>
      <c r="E2" s="91" t="s">
        <v>318</v>
      </c>
      <c r="F2" s="91"/>
      <c r="G2" s="91"/>
      <c r="H2" s="91"/>
      <c r="I2" s="91"/>
      <c r="J2" s="91"/>
      <c r="K2" s="90"/>
      <c r="L2" s="86" t="s">
        <v>317</v>
      </c>
      <c r="M2" s="87"/>
      <c r="N2" s="87"/>
      <c r="O2" s="87"/>
      <c r="P2" s="87"/>
      <c r="Q2" s="87"/>
      <c r="R2" s="88"/>
      <c r="S2" s="86" t="s">
        <v>316</v>
      </c>
      <c r="T2" s="87"/>
      <c r="U2" s="87"/>
      <c r="V2" s="87"/>
      <c r="W2" s="87"/>
      <c r="X2" s="87"/>
      <c r="Y2" s="88"/>
      <c r="Z2" s="86" t="s">
        <v>315</v>
      </c>
      <c r="AA2" s="87"/>
      <c r="AB2" s="87"/>
      <c r="AC2" s="87"/>
      <c r="AD2" s="87"/>
      <c r="AE2" s="87"/>
      <c r="AF2" s="88"/>
      <c r="AG2" s="86" t="s">
        <v>314</v>
      </c>
      <c r="AH2" s="87"/>
      <c r="AI2" s="87"/>
      <c r="AJ2" s="87"/>
      <c r="AK2" s="87"/>
      <c r="AL2" s="87"/>
      <c r="AM2" s="88"/>
      <c r="AN2" s="54" t="s">
        <v>313</v>
      </c>
      <c r="AO2" s="89" t="s">
        <v>312</v>
      </c>
      <c r="AP2" s="90"/>
    </row>
    <row r="3" spans="1:42" s="40" customFormat="1" ht="19.5" customHeight="1" thickBot="1" x14ac:dyDescent="0.25">
      <c r="A3" s="46" t="s">
        <v>311</v>
      </c>
      <c r="B3" s="46" t="s">
        <v>310</v>
      </c>
      <c r="C3" s="46" t="s">
        <v>309</v>
      </c>
      <c r="D3" s="45" t="s">
        <v>308</v>
      </c>
      <c r="E3" s="44" t="s">
        <v>307</v>
      </c>
      <c r="F3" s="44" t="s">
        <v>306</v>
      </c>
      <c r="G3" s="74" t="s">
        <v>305</v>
      </c>
      <c r="H3" s="44" t="s">
        <v>304</v>
      </c>
      <c r="I3" s="44" t="s">
        <v>303</v>
      </c>
      <c r="J3" s="44" t="s">
        <v>302</v>
      </c>
      <c r="K3" s="41" t="s">
        <v>301</v>
      </c>
      <c r="L3" s="44" t="s">
        <v>307</v>
      </c>
      <c r="M3" s="44" t="s">
        <v>306</v>
      </c>
      <c r="N3" s="44" t="s">
        <v>305</v>
      </c>
      <c r="O3" s="44" t="s">
        <v>304</v>
      </c>
      <c r="P3" s="44" t="s">
        <v>303</v>
      </c>
      <c r="Q3" s="44" t="s">
        <v>302</v>
      </c>
      <c r="R3" s="44" t="s">
        <v>301</v>
      </c>
      <c r="S3" s="42" t="s">
        <v>307</v>
      </c>
      <c r="T3" s="44" t="s">
        <v>306</v>
      </c>
      <c r="U3" s="44" t="s">
        <v>305</v>
      </c>
      <c r="V3" s="44" t="s">
        <v>304</v>
      </c>
      <c r="W3" s="44" t="s">
        <v>303</v>
      </c>
      <c r="X3" s="44" t="s">
        <v>302</v>
      </c>
      <c r="Y3" s="44" t="s">
        <v>301</v>
      </c>
      <c r="Z3" s="42" t="s">
        <v>307</v>
      </c>
      <c r="AA3" s="44" t="s">
        <v>306</v>
      </c>
      <c r="AB3" s="44" t="s">
        <v>305</v>
      </c>
      <c r="AC3" s="44" t="s">
        <v>304</v>
      </c>
      <c r="AD3" s="44" t="s">
        <v>303</v>
      </c>
      <c r="AE3" s="44" t="s">
        <v>302</v>
      </c>
      <c r="AF3" s="44" t="s">
        <v>301</v>
      </c>
      <c r="AG3" s="42" t="s">
        <v>307</v>
      </c>
      <c r="AH3" s="44" t="s">
        <v>306</v>
      </c>
      <c r="AI3" s="44" t="s">
        <v>305</v>
      </c>
      <c r="AJ3" s="44" t="s">
        <v>304</v>
      </c>
      <c r="AK3" s="44" t="s">
        <v>303</v>
      </c>
      <c r="AL3" s="44" t="s">
        <v>302</v>
      </c>
      <c r="AM3" s="44" t="s">
        <v>301</v>
      </c>
      <c r="AN3" s="43"/>
      <c r="AO3" s="42" t="s">
        <v>300</v>
      </c>
      <c r="AP3" s="41" t="s">
        <v>129</v>
      </c>
    </row>
    <row r="4" spans="1:42" x14ac:dyDescent="0.2">
      <c r="A4" t="s">
        <v>138</v>
      </c>
      <c r="B4" t="s">
        <v>129</v>
      </c>
      <c r="C4" t="s">
        <v>137</v>
      </c>
      <c r="D4" t="s">
        <v>136</v>
      </c>
      <c r="E4">
        <v>6.7253946999999994E-2</v>
      </c>
      <c r="F4">
        <v>6.7668557000000004E-2</v>
      </c>
      <c r="G4" s="76">
        <v>6.8653584000000004E-2</v>
      </c>
      <c r="H4">
        <v>7.0018290999999996E-2</v>
      </c>
      <c r="I4">
        <v>7.0918678999999998E-2</v>
      </c>
      <c r="J4">
        <v>7.1511387999999995E-2</v>
      </c>
      <c r="K4">
        <v>7.1917414999999998E-2</v>
      </c>
      <c r="L4">
        <v>3.5871459999999998E-3</v>
      </c>
      <c r="M4">
        <v>1.0938754E-2</v>
      </c>
      <c r="N4">
        <v>1.3550080000000001E-2</v>
      </c>
      <c r="O4">
        <v>1.4825183E-2</v>
      </c>
      <c r="P4">
        <v>1.6962545999999998E-2</v>
      </c>
      <c r="Q4">
        <v>1.9481478E-2</v>
      </c>
      <c r="R4">
        <v>2.2597597000000001E-2</v>
      </c>
      <c r="S4">
        <v>0.134922862</v>
      </c>
      <c r="T4">
        <v>0.12789769500000001</v>
      </c>
      <c r="U4">
        <v>0.12802629099999999</v>
      </c>
      <c r="V4">
        <v>0.127841437</v>
      </c>
      <c r="W4">
        <v>0.127759284</v>
      </c>
      <c r="X4">
        <v>0.12638123800000001</v>
      </c>
      <c r="Y4">
        <v>0.124416656</v>
      </c>
      <c r="Z4">
        <v>4.2501210999999997E-2</v>
      </c>
      <c r="AA4">
        <v>3.9541307999999997E-2</v>
      </c>
      <c r="AB4">
        <v>3.2194153000000003E-2</v>
      </c>
      <c r="AC4">
        <v>2.6310759E-2</v>
      </c>
      <c r="AD4">
        <v>2.6683859000000001E-2</v>
      </c>
      <c r="AE4">
        <v>2.8973606999999998E-2</v>
      </c>
      <c r="AF4">
        <v>2.9925678000000001E-2</v>
      </c>
      <c r="AG4">
        <v>9.2594521999999999E-2</v>
      </c>
      <c r="AH4">
        <v>9.6556740000000002E-2</v>
      </c>
      <c r="AI4">
        <v>0.10640079</v>
      </c>
      <c r="AJ4">
        <v>0.115586987</v>
      </c>
      <c r="AK4">
        <v>0.117059572</v>
      </c>
      <c r="AL4">
        <v>0.115807859</v>
      </c>
      <c r="AM4">
        <v>0.1156215</v>
      </c>
      <c r="AN4">
        <v>0.191981649</v>
      </c>
      <c r="AO4">
        <v>1.32581E-4</v>
      </c>
      <c r="AP4">
        <v>0.90228558800000003</v>
      </c>
    </row>
    <row r="5" spans="1:42" x14ac:dyDescent="0.2">
      <c r="A5" t="s">
        <v>138</v>
      </c>
      <c r="B5" t="s">
        <v>129</v>
      </c>
      <c r="C5" t="s">
        <v>382</v>
      </c>
      <c r="D5" t="s">
        <v>383</v>
      </c>
      <c r="E5">
        <v>0.16962540100000001</v>
      </c>
      <c r="F5">
        <v>0.16450965400000001</v>
      </c>
      <c r="G5" s="76">
        <v>0.15227460900000001</v>
      </c>
      <c r="H5">
        <v>0.13512969</v>
      </c>
      <c r="I5">
        <v>0.123600006</v>
      </c>
      <c r="J5">
        <v>0.11585891199999999</v>
      </c>
      <c r="K5">
        <v>0.110461354</v>
      </c>
      <c r="L5">
        <v>0.101092139</v>
      </c>
      <c r="M5">
        <v>0.104616449</v>
      </c>
      <c r="N5">
        <v>9.9331876999999999E-2</v>
      </c>
      <c r="O5">
        <v>8.8691065999999999E-2</v>
      </c>
      <c r="P5">
        <v>8.0783042999999999E-2</v>
      </c>
      <c r="Q5">
        <v>7.7243724999999999E-2</v>
      </c>
      <c r="R5">
        <v>7.3761687000000006E-2</v>
      </c>
      <c r="S5">
        <v>0.24197756500000001</v>
      </c>
      <c r="T5">
        <v>0.22620622900000001</v>
      </c>
      <c r="U5">
        <v>0.20775384799999999</v>
      </c>
      <c r="V5">
        <v>0.18339119300000001</v>
      </c>
      <c r="W5">
        <v>0.16793464699999999</v>
      </c>
      <c r="X5">
        <v>0.15594724900000001</v>
      </c>
      <c r="Y5">
        <v>0.148487798</v>
      </c>
      <c r="Z5">
        <v>0.14407920199999999</v>
      </c>
      <c r="AA5">
        <v>0.13879845199999999</v>
      </c>
      <c r="AB5">
        <v>0.124362427</v>
      </c>
      <c r="AC5">
        <v>0.105457124</v>
      </c>
      <c r="AD5">
        <v>9.3629876000000001E-2</v>
      </c>
      <c r="AE5">
        <v>8.6111568999999999E-2</v>
      </c>
      <c r="AF5">
        <v>8.2616640000000005E-2</v>
      </c>
      <c r="AG5">
        <v>0.19574192100000001</v>
      </c>
      <c r="AH5">
        <v>0.190801413</v>
      </c>
      <c r="AI5">
        <v>0.180879758</v>
      </c>
      <c r="AJ5">
        <v>0.16559863999999999</v>
      </c>
      <c r="AK5">
        <v>0.15439141200000001</v>
      </c>
      <c r="AL5">
        <v>0.14642086000000001</v>
      </c>
      <c r="AM5">
        <v>0.139022225</v>
      </c>
      <c r="AN5">
        <v>0.186627294</v>
      </c>
      <c r="AO5">
        <v>-5.1734540000000001E-3</v>
      </c>
      <c r="AP5">
        <v>0.87540646300000002</v>
      </c>
    </row>
    <row r="6" spans="1:42" x14ac:dyDescent="0.2">
      <c r="A6" t="s">
        <v>138</v>
      </c>
      <c r="B6" t="s">
        <v>129</v>
      </c>
      <c r="C6" t="s">
        <v>135</v>
      </c>
      <c r="D6" t="s">
        <v>134</v>
      </c>
      <c r="E6">
        <v>8.2311391999999997E-2</v>
      </c>
      <c r="F6">
        <v>8.3545445999999995E-2</v>
      </c>
      <c r="G6" s="76">
        <v>8.6507678000000005E-2</v>
      </c>
      <c r="H6">
        <v>9.0684652000000004E-2</v>
      </c>
      <c r="I6">
        <v>9.3503355999999996E-2</v>
      </c>
      <c r="J6">
        <v>9.5395445999999995E-2</v>
      </c>
      <c r="K6">
        <v>9.6712828000000001E-2</v>
      </c>
      <c r="L6">
        <v>1.6061973E-2</v>
      </c>
      <c r="M6">
        <v>2.5174621000000001E-2</v>
      </c>
      <c r="N6">
        <v>3.4319557000000001E-2</v>
      </c>
      <c r="O6">
        <v>4.3870602000000002E-2</v>
      </c>
      <c r="P6">
        <v>4.9857142E-2</v>
      </c>
      <c r="Q6">
        <v>5.4488841000000003E-2</v>
      </c>
      <c r="R6">
        <v>5.8405581999999998E-2</v>
      </c>
      <c r="S6">
        <v>0.153516924</v>
      </c>
      <c r="T6">
        <v>0.14438578299999999</v>
      </c>
      <c r="U6">
        <v>0.14134945400000001</v>
      </c>
      <c r="V6">
        <v>0.140143661</v>
      </c>
      <c r="W6">
        <v>0.13866039699999999</v>
      </c>
      <c r="X6">
        <v>0.137813769</v>
      </c>
      <c r="Y6">
        <v>0.13611495700000001</v>
      </c>
      <c r="Z6">
        <v>5.9945071000000003E-2</v>
      </c>
      <c r="AA6">
        <v>6.0977748999999998E-2</v>
      </c>
      <c r="AB6">
        <v>6.1309535999999998E-2</v>
      </c>
      <c r="AC6">
        <v>6.3295594999999996E-2</v>
      </c>
      <c r="AD6">
        <v>6.5282564000000001E-2</v>
      </c>
      <c r="AE6">
        <v>6.7588932000000004E-2</v>
      </c>
      <c r="AF6">
        <v>7.0260393000000004E-2</v>
      </c>
      <c r="AG6">
        <v>0.105149627</v>
      </c>
      <c r="AH6">
        <v>0.106593009</v>
      </c>
      <c r="AI6">
        <v>0.112304099</v>
      </c>
      <c r="AJ6">
        <v>0.118779328</v>
      </c>
      <c r="AK6">
        <v>0.122471779</v>
      </c>
      <c r="AL6">
        <v>0.123926166</v>
      </c>
      <c r="AM6">
        <v>0.123818939</v>
      </c>
      <c r="AN6">
        <v>0.20572275000000001</v>
      </c>
      <c r="AO6">
        <v>-1.6330292999999999E-2</v>
      </c>
      <c r="AP6">
        <v>0.778034805</v>
      </c>
    </row>
    <row r="7" spans="1:42" x14ac:dyDescent="0.2">
      <c r="A7" t="s">
        <v>138</v>
      </c>
      <c r="B7" t="s">
        <v>129</v>
      </c>
      <c r="C7" t="s">
        <v>359</v>
      </c>
      <c r="D7" t="s">
        <v>162</v>
      </c>
      <c r="E7">
        <v>6.6432356999999997E-2</v>
      </c>
      <c r="F7">
        <v>6.6654443999999993E-2</v>
      </c>
      <c r="G7" s="76">
        <v>6.7176342E-2</v>
      </c>
      <c r="H7">
        <v>6.7883610999999996E-2</v>
      </c>
      <c r="I7">
        <v>6.8337083000000007E-2</v>
      </c>
      <c r="J7">
        <v>6.8627357E-2</v>
      </c>
      <c r="K7">
        <v>6.8821548999999996E-2</v>
      </c>
      <c r="L7">
        <v>9.8744320000000007E-3</v>
      </c>
      <c r="M7">
        <v>1.6395315000000001E-2</v>
      </c>
      <c r="N7">
        <v>2.0303999E-2</v>
      </c>
      <c r="O7">
        <v>2.2027061000000001E-2</v>
      </c>
      <c r="P7">
        <v>2.3719711000000001E-2</v>
      </c>
      <c r="Q7">
        <v>2.576059E-2</v>
      </c>
      <c r="R7">
        <v>2.8463274E-2</v>
      </c>
      <c r="S7">
        <v>0.12620831399999999</v>
      </c>
      <c r="T7">
        <v>0.11875013199999999</v>
      </c>
      <c r="U7">
        <v>0.116601443</v>
      </c>
      <c r="V7">
        <v>0.115488178</v>
      </c>
      <c r="W7">
        <v>0.114659659</v>
      </c>
      <c r="X7">
        <v>0.113679813</v>
      </c>
      <c r="Y7">
        <v>0.11032988000000001</v>
      </c>
      <c r="Z7">
        <v>4.6206995000000001E-2</v>
      </c>
      <c r="AA7">
        <v>4.4021125000000001E-2</v>
      </c>
      <c r="AB7">
        <v>3.7746096E-2</v>
      </c>
      <c r="AC7">
        <v>3.1618225999999999E-2</v>
      </c>
      <c r="AD7">
        <v>3.1339551E-2</v>
      </c>
      <c r="AE7">
        <v>3.2425163E-2</v>
      </c>
      <c r="AF7">
        <v>3.4152481999999998E-2</v>
      </c>
      <c r="AG7">
        <v>8.7048607E-2</v>
      </c>
      <c r="AH7">
        <v>8.9778524999999998E-2</v>
      </c>
      <c r="AI7">
        <v>9.7441034999999995E-2</v>
      </c>
      <c r="AJ7">
        <v>0.105423795</v>
      </c>
      <c r="AK7">
        <v>0.10666169</v>
      </c>
      <c r="AL7">
        <v>0.106098831</v>
      </c>
      <c r="AM7">
        <v>0.104652758</v>
      </c>
      <c r="AN7">
        <v>0.171797595</v>
      </c>
      <c r="AO7">
        <v>7.2089329999999998E-3</v>
      </c>
      <c r="AP7">
        <v>0.92014702599999998</v>
      </c>
    </row>
    <row r="8" spans="1:42" x14ac:dyDescent="0.2">
      <c r="A8" t="s">
        <v>138</v>
      </c>
      <c r="B8" t="s">
        <v>129</v>
      </c>
      <c r="C8" t="s">
        <v>131</v>
      </c>
      <c r="D8" t="s">
        <v>378</v>
      </c>
      <c r="E8">
        <v>0.14107847200000001</v>
      </c>
      <c r="F8">
        <v>0.137543201</v>
      </c>
      <c r="G8" s="76">
        <v>0.129065394</v>
      </c>
      <c r="H8">
        <v>0.11713111399999999</v>
      </c>
      <c r="I8">
        <v>0.10906779799999999</v>
      </c>
      <c r="J8">
        <v>0.103635669</v>
      </c>
      <c r="K8">
        <v>9.9838971999999998E-2</v>
      </c>
      <c r="L8">
        <v>7.9374695999999995E-2</v>
      </c>
      <c r="M8">
        <v>8.4547160999999996E-2</v>
      </c>
      <c r="N8">
        <v>8.1393195000000002E-2</v>
      </c>
      <c r="O8">
        <v>7.5796701999999994E-2</v>
      </c>
      <c r="P8">
        <v>7.1331159000000005E-2</v>
      </c>
      <c r="Q8">
        <v>6.8643351000000005E-2</v>
      </c>
      <c r="R8">
        <v>6.6534787999999997E-2</v>
      </c>
      <c r="S8">
        <v>0.20551894500000001</v>
      </c>
      <c r="T8">
        <v>0.193000961</v>
      </c>
      <c r="U8">
        <v>0.17787113600000001</v>
      </c>
      <c r="V8">
        <v>0.160178603</v>
      </c>
      <c r="W8">
        <v>0.147901586</v>
      </c>
      <c r="X8">
        <v>0.13949374</v>
      </c>
      <c r="Y8">
        <v>0.13410704400000001</v>
      </c>
      <c r="Z8">
        <v>0.122284348</v>
      </c>
      <c r="AA8">
        <v>0.118400617</v>
      </c>
      <c r="AB8">
        <v>0.106097618</v>
      </c>
      <c r="AC8">
        <v>9.1651468999999999E-2</v>
      </c>
      <c r="AD8">
        <v>8.3081172999999994E-2</v>
      </c>
      <c r="AE8">
        <v>7.9044274999999997E-2</v>
      </c>
      <c r="AF8">
        <v>7.6468882000000002E-2</v>
      </c>
      <c r="AG8">
        <v>0.16018760500000001</v>
      </c>
      <c r="AH8">
        <v>0.157013604</v>
      </c>
      <c r="AI8">
        <v>0.152510072</v>
      </c>
      <c r="AJ8">
        <v>0.143205529</v>
      </c>
      <c r="AK8">
        <v>0.135677994</v>
      </c>
      <c r="AL8">
        <v>0.12878751799999999</v>
      </c>
      <c r="AM8">
        <v>0.123716404</v>
      </c>
      <c r="AN8">
        <v>0.17679847200000001</v>
      </c>
      <c r="AO8">
        <v>-1.9850940000000002E-3</v>
      </c>
      <c r="AP8">
        <v>0.91572126099999995</v>
      </c>
    </row>
    <row r="9" spans="1:42" x14ac:dyDescent="0.2">
      <c r="A9" t="s">
        <v>138</v>
      </c>
      <c r="B9" t="s">
        <v>129</v>
      </c>
      <c r="C9" t="s">
        <v>379</v>
      </c>
      <c r="D9" t="s">
        <v>380</v>
      </c>
      <c r="E9">
        <v>0.13568365600000001</v>
      </c>
      <c r="F9">
        <v>0.13266456099999999</v>
      </c>
      <c r="G9" s="76">
        <v>0.12541723299999999</v>
      </c>
      <c r="H9">
        <v>0.11519741999999999</v>
      </c>
      <c r="I9">
        <v>0.108279586</v>
      </c>
      <c r="J9">
        <v>0.103612781</v>
      </c>
      <c r="K9">
        <v>0.10034799599999999</v>
      </c>
      <c r="L9">
        <v>7.5233633999999994E-2</v>
      </c>
      <c r="M9">
        <v>8.1133301000000005E-2</v>
      </c>
      <c r="N9">
        <v>7.8466398000000007E-2</v>
      </c>
      <c r="O9">
        <v>7.4175255999999995E-2</v>
      </c>
      <c r="P9">
        <v>7.0806173E-2</v>
      </c>
      <c r="Q9">
        <v>6.8649414000000006E-2</v>
      </c>
      <c r="R9">
        <v>6.7183598999999997E-2</v>
      </c>
      <c r="S9">
        <v>0.19928864700000001</v>
      </c>
      <c r="T9">
        <v>0.186858101</v>
      </c>
      <c r="U9">
        <v>0.17355894299999999</v>
      </c>
      <c r="V9">
        <v>0.157673073</v>
      </c>
      <c r="W9">
        <v>0.146796857</v>
      </c>
      <c r="X9">
        <v>0.13928510699999999</v>
      </c>
      <c r="Y9">
        <v>0.13439870800000001</v>
      </c>
      <c r="Z9">
        <v>0.117874096</v>
      </c>
      <c r="AA9">
        <v>0.11429072699999999</v>
      </c>
      <c r="AB9">
        <v>0.103173107</v>
      </c>
      <c r="AC9">
        <v>9.0150463E-2</v>
      </c>
      <c r="AD9">
        <v>8.2568896000000003E-2</v>
      </c>
      <c r="AE9">
        <v>7.9106465000000001E-2</v>
      </c>
      <c r="AF9">
        <v>7.7078156999999994E-2</v>
      </c>
      <c r="AG9">
        <v>0.153776997</v>
      </c>
      <c r="AH9">
        <v>0.15134145500000001</v>
      </c>
      <c r="AI9">
        <v>0.14810996500000001</v>
      </c>
      <c r="AJ9">
        <v>0.14081982800000001</v>
      </c>
      <c r="AK9">
        <v>0.134601041</v>
      </c>
      <c r="AL9">
        <v>0.128675859</v>
      </c>
      <c r="AM9">
        <v>0.124120382</v>
      </c>
      <c r="AN9">
        <v>0.17575824100000001</v>
      </c>
      <c r="AO9">
        <v>-3.7766779999999999E-3</v>
      </c>
      <c r="AP9">
        <v>0.92005324799999999</v>
      </c>
    </row>
    <row r="10" spans="1:42" x14ac:dyDescent="0.2">
      <c r="A10" t="s">
        <v>138</v>
      </c>
      <c r="B10" t="s">
        <v>129</v>
      </c>
      <c r="C10" t="s">
        <v>156</v>
      </c>
      <c r="D10" t="s">
        <v>155</v>
      </c>
      <c r="E10">
        <v>9.7473859999999996E-2</v>
      </c>
      <c r="F10">
        <v>9.5351458E-2</v>
      </c>
      <c r="G10" s="76">
        <v>9.0246200999999998E-2</v>
      </c>
      <c r="H10">
        <v>8.3023071000000004E-2</v>
      </c>
      <c r="I10">
        <v>7.8115939999999995E-2</v>
      </c>
      <c r="J10">
        <v>7.4796557E-2</v>
      </c>
      <c r="K10">
        <v>7.2469591999999999E-2</v>
      </c>
      <c r="L10">
        <v>2.5029958000000001E-2</v>
      </c>
      <c r="M10">
        <v>2.8404560999999998E-2</v>
      </c>
      <c r="N10">
        <v>2.526552E-2</v>
      </c>
      <c r="O10">
        <v>2.0341525999999999E-2</v>
      </c>
      <c r="P10">
        <v>1.6654705999999998E-2</v>
      </c>
      <c r="Q10">
        <v>1.5774814000000002E-2</v>
      </c>
      <c r="R10">
        <v>1.6620210999999999E-2</v>
      </c>
      <c r="S10">
        <v>0.17501855199999999</v>
      </c>
      <c r="T10">
        <v>0.16731501700000001</v>
      </c>
      <c r="U10">
        <v>0.16034278099999999</v>
      </c>
      <c r="V10">
        <v>0.15158176900000001</v>
      </c>
      <c r="W10">
        <v>0.14382524999999999</v>
      </c>
      <c r="X10">
        <v>0.13723975799999999</v>
      </c>
      <c r="Y10">
        <v>0.13074709600000001</v>
      </c>
      <c r="Z10">
        <v>5.0975749000000001E-2</v>
      </c>
      <c r="AA10">
        <v>4.7717160000000002E-2</v>
      </c>
      <c r="AB10">
        <v>3.993004E-2</v>
      </c>
      <c r="AC10">
        <v>2.9715392E-2</v>
      </c>
      <c r="AD10">
        <v>2.5369045E-2</v>
      </c>
      <c r="AE10">
        <v>2.2654945999999999E-2</v>
      </c>
      <c r="AF10">
        <v>2.3837579000000001E-2</v>
      </c>
      <c r="AG10">
        <v>0.14602938100000001</v>
      </c>
      <c r="AH10">
        <v>0.14515133999999999</v>
      </c>
      <c r="AI10">
        <v>0.14299690200000001</v>
      </c>
      <c r="AJ10">
        <v>0.13909026899999999</v>
      </c>
      <c r="AK10">
        <v>0.133576264</v>
      </c>
      <c r="AL10">
        <v>0.12959668099999999</v>
      </c>
      <c r="AM10">
        <v>0.123411465</v>
      </c>
      <c r="AN10">
        <v>0.17770641200000001</v>
      </c>
      <c r="AO10">
        <v>0.196752869</v>
      </c>
      <c r="AP10">
        <v>0.74993704500000002</v>
      </c>
    </row>
    <row r="11" spans="1:42" x14ac:dyDescent="0.2">
      <c r="A11" t="s">
        <v>138</v>
      </c>
      <c r="B11" t="s">
        <v>129</v>
      </c>
      <c r="C11" t="s">
        <v>360</v>
      </c>
      <c r="D11" t="s">
        <v>161</v>
      </c>
      <c r="E11">
        <v>8.9012980000000005E-2</v>
      </c>
      <c r="F11">
        <v>8.8403820999999994E-2</v>
      </c>
      <c r="G11" s="76">
        <v>8.6925744999999999E-2</v>
      </c>
      <c r="H11">
        <v>8.4802746999999998E-2</v>
      </c>
      <c r="I11">
        <v>8.3335279999999998E-2</v>
      </c>
      <c r="J11">
        <v>8.2328439000000003E-2</v>
      </c>
      <c r="K11">
        <v>8.1614852000000002E-2</v>
      </c>
      <c r="L11">
        <v>1.1986508999999999E-2</v>
      </c>
      <c r="M11">
        <v>1.9799270000000001E-2</v>
      </c>
      <c r="N11">
        <v>2.5273058000000001E-2</v>
      </c>
      <c r="O11">
        <v>2.8171966E-2</v>
      </c>
      <c r="P11">
        <v>3.0306875E-2</v>
      </c>
      <c r="Q11">
        <v>3.3258343000000003E-2</v>
      </c>
      <c r="R11">
        <v>3.5106853E-2</v>
      </c>
      <c r="S11">
        <v>0.173007826</v>
      </c>
      <c r="T11">
        <v>0.160703659</v>
      </c>
      <c r="U11">
        <v>0.15162761299999999</v>
      </c>
      <c r="V11">
        <v>0.14468958300000001</v>
      </c>
      <c r="W11">
        <v>0.139190483</v>
      </c>
      <c r="X11">
        <v>0.134193227</v>
      </c>
      <c r="Y11">
        <v>0.13053880700000001</v>
      </c>
      <c r="Z11">
        <v>5.2807891000000003E-2</v>
      </c>
      <c r="AA11">
        <v>5.3454494999999998E-2</v>
      </c>
      <c r="AB11">
        <v>4.7515101999999997E-2</v>
      </c>
      <c r="AC11">
        <v>4.4643580000000002E-2</v>
      </c>
      <c r="AD11">
        <v>4.3472185000000003E-2</v>
      </c>
      <c r="AE11">
        <v>4.2189695999999999E-2</v>
      </c>
      <c r="AF11">
        <v>4.4344399E-2</v>
      </c>
      <c r="AG11">
        <v>0.126463083</v>
      </c>
      <c r="AH11">
        <v>0.124512605</v>
      </c>
      <c r="AI11">
        <v>0.12781901200000001</v>
      </c>
      <c r="AJ11">
        <v>0.12650573700000001</v>
      </c>
      <c r="AK11">
        <v>0.124721227</v>
      </c>
      <c r="AL11">
        <v>0.124012997</v>
      </c>
      <c r="AM11">
        <v>0.12021538499999999</v>
      </c>
      <c r="AN11">
        <v>0.21597485499999999</v>
      </c>
      <c r="AO11">
        <v>-4.0970395999999999E-2</v>
      </c>
      <c r="AP11">
        <v>0.88602800699999995</v>
      </c>
    </row>
    <row r="12" spans="1:42" x14ac:dyDescent="0.2">
      <c r="A12" t="s">
        <v>138</v>
      </c>
      <c r="B12" t="s">
        <v>129</v>
      </c>
      <c r="C12" t="s">
        <v>158</v>
      </c>
      <c r="D12" t="s">
        <v>157</v>
      </c>
      <c r="E12">
        <v>4.2258619999999997E-2</v>
      </c>
      <c r="F12">
        <v>4.3421148999999999E-2</v>
      </c>
      <c r="G12" s="76">
        <v>4.6211957999999997E-2</v>
      </c>
      <c r="H12">
        <v>5.0146221999999997E-2</v>
      </c>
      <c r="I12">
        <v>5.2800179000000003E-2</v>
      </c>
      <c r="J12">
        <v>5.4581285E-2</v>
      </c>
      <c r="K12">
        <v>5.5821179999999998E-2</v>
      </c>
      <c r="L12">
        <v>-8.1340319999999994E-3</v>
      </c>
      <c r="M12">
        <v>-2.9509750000000002E-3</v>
      </c>
      <c r="N12">
        <v>-5.5339300000000001E-4</v>
      </c>
      <c r="O12">
        <v>2.8737200000000002E-3</v>
      </c>
      <c r="P12">
        <v>5.887214E-3</v>
      </c>
      <c r="Q12">
        <v>9.3343450000000008E-3</v>
      </c>
      <c r="R12">
        <v>1.1405541999999999E-2</v>
      </c>
      <c r="S12">
        <v>9.6180938999999993E-2</v>
      </c>
      <c r="T12">
        <v>9.2464791000000005E-2</v>
      </c>
      <c r="U12">
        <v>9.5593132999999997E-2</v>
      </c>
      <c r="V12">
        <v>9.9672018000000001E-2</v>
      </c>
      <c r="W12">
        <v>0.101966211</v>
      </c>
      <c r="X12">
        <v>0.103022578</v>
      </c>
      <c r="Y12">
        <v>0.101757211</v>
      </c>
      <c r="Z12">
        <v>1.1661067000000001E-2</v>
      </c>
      <c r="AA12">
        <v>1.1743173000000001E-2</v>
      </c>
      <c r="AB12">
        <v>1.0098452000000001E-2</v>
      </c>
      <c r="AC12">
        <v>8.9672650000000003E-3</v>
      </c>
      <c r="AD12">
        <v>1.0193603000000001E-2</v>
      </c>
      <c r="AE12">
        <v>1.178848E-2</v>
      </c>
      <c r="AF12">
        <v>1.5418451E-2</v>
      </c>
      <c r="AG12">
        <v>7.3781403999999995E-2</v>
      </c>
      <c r="AH12">
        <v>7.6091139000000002E-2</v>
      </c>
      <c r="AI12">
        <v>8.3616703000000001E-2</v>
      </c>
      <c r="AJ12">
        <v>9.3005713000000004E-2</v>
      </c>
      <c r="AK12">
        <v>9.7203764999999998E-2</v>
      </c>
      <c r="AL12">
        <v>9.9183962000000001E-2</v>
      </c>
      <c r="AM12">
        <v>9.7831392000000003E-2</v>
      </c>
      <c r="AN12">
        <v>0.13571704900000001</v>
      </c>
      <c r="AO12">
        <v>0.11263864699999999</v>
      </c>
      <c r="AP12">
        <v>0.78303976099999995</v>
      </c>
    </row>
    <row r="13" spans="1:42" x14ac:dyDescent="0.2">
      <c r="A13" t="s">
        <v>138</v>
      </c>
      <c r="B13" t="s">
        <v>129</v>
      </c>
      <c r="C13" t="s">
        <v>173</v>
      </c>
      <c r="D13" t="s">
        <v>160</v>
      </c>
      <c r="E13">
        <v>7.0999980000000004E-2</v>
      </c>
      <c r="F13">
        <v>7.2923540999999995E-2</v>
      </c>
      <c r="G13" s="76">
        <v>7.7554226000000004E-2</v>
      </c>
      <c r="H13">
        <v>8.4114909000000002E-2</v>
      </c>
      <c r="I13">
        <v>8.8566541999999998E-2</v>
      </c>
      <c r="J13">
        <v>9.1568351000000006E-2</v>
      </c>
      <c r="K13">
        <v>9.3665600000000002E-2</v>
      </c>
      <c r="L13">
        <v>-3.5408635000000001E-2</v>
      </c>
      <c r="M13">
        <v>-2.7494972999999999E-2</v>
      </c>
      <c r="N13">
        <v>-2.4612337000000001E-2</v>
      </c>
      <c r="O13">
        <v>-1.8549643000000001E-2</v>
      </c>
      <c r="P13">
        <v>-1.3195279000000001E-2</v>
      </c>
      <c r="Q13">
        <v>-8.5382849999999996E-3</v>
      </c>
      <c r="R13">
        <v>-2.5396170000000001E-3</v>
      </c>
      <c r="S13">
        <v>0.19050729299999999</v>
      </c>
      <c r="T13">
        <v>0.18326161799999999</v>
      </c>
      <c r="U13">
        <v>0.18970093099999999</v>
      </c>
      <c r="V13">
        <v>0.19660138799999999</v>
      </c>
      <c r="W13">
        <v>0.20184676900000001</v>
      </c>
      <c r="X13">
        <v>0.20051938699999999</v>
      </c>
      <c r="Y13">
        <v>0.19814557699999999</v>
      </c>
      <c r="Z13">
        <v>6.218632E-3</v>
      </c>
      <c r="AA13">
        <v>3.1903790000000001E-3</v>
      </c>
      <c r="AB13">
        <v>-5.5589239999999998E-3</v>
      </c>
      <c r="AC13">
        <v>-7.6995229999999998E-3</v>
      </c>
      <c r="AD13">
        <v>-9.26065E-4</v>
      </c>
      <c r="AE13">
        <v>-2.3380829999999999E-3</v>
      </c>
      <c r="AF13">
        <v>6.2023030000000002E-3</v>
      </c>
      <c r="AG13">
        <v>0.13995196400000001</v>
      </c>
      <c r="AH13">
        <v>0.14750405</v>
      </c>
      <c r="AI13">
        <v>0.167613814</v>
      </c>
      <c r="AJ13">
        <v>0.18442467500000001</v>
      </c>
      <c r="AK13">
        <v>0.18607554300000001</v>
      </c>
      <c r="AL13">
        <v>0.194313757</v>
      </c>
      <c r="AM13">
        <v>0.18873151599999999</v>
      </c>
      <c r="AN13">
        <v>0.29087705200000002</v>
      </c>
      <c r="AO13">
        <v>-9.6210339000000006E-2</v>
      </c>
      <c r="AP13">
        <v>0.57140740099999998</v>
      </c>
    </row>
    <row r="14" spans="1:42" x14ac:dyDescent="0.2">
      <c r="A14" t="s">
        <v>138</v>
      </c>
      <c r="B14" t="s">
        <v>129</v>
      </c>
      <c r="C14" t="s">
        <v>163</v>
      </c>
      <c r="D14" t="s">
        <v>100</v>
      </c>
      <c r="E14">
        <v>9.7956896000000002E-2</v>
      </c>
      <c r="F14">
        <v>9.6368909000000003E-2</v>
      </c>
      <c r="G14" s="76">
        <v>9.2542648000000005E-2</v>
      </c>
      <c r="H14">
        <v>8.7113142000000005E-2</v>
      </c>
      <c r="I14">
        <v>8.3412647000000006E-2</v>
      </c>
      <c r="J14">
        <v>8.0902815000000003E-2</v>
      </c>
      <c r="K14">
        <v>7.9140066999999995E-2</v>
      </c>
      <c r="L14">
        <v>5.9815752999999999E-2</v>
      </c>
      <c r="M14">
        <v>6.2836477000000002E-2</v>
      </c>
      <c r="N14">
        <v>6.2353665000000003E-2</v>
      </c>
      <c r="O14">
        <v>5.9794813000000002E-2</v>
      </c>
      <c r="P14">
        <v>5.8127898999999997E-2</v>
      </c>
      <c r="Q14">
        <v>5.7364254000000003E-2</v>
      </c>
      <c r="R14">
        <v>5.6097279999999999E-2</v>
      </c>
      <c r="S14">
        <v>0.13770380600000001</v>
      </c>
      <c r="T14">
        <v>0.13079168599999999</v>
      </c>
      <c r="U14">
        <v>0.123677527</v>
      </c>
      <c r="V14">
        <v>0.114829191</v>
      </c>
      <c r="W14">
        <v>0.109197299</v>
      </c>
      <c r="X14">
        <v>0.105017071</v>
      </c>
      <c r="Y14">
        <v>0.101946412</v>
      </c>
      <c r="Z14">
        <v>8.7136140000000001E-2</v>
      </c>
      <c r="AA14">
        <v>8.4652269000000002E-2</v>
      </c>
      <c r="AB14">
        <v>7.8191372999999995E-2</v>
      </c>
      <c r="AC14">
        <v>6.9822170000000003E-2</v>
      </c>
      <c r="AD14">
        <v>6.5359060999999996E-2</v>
      </c>
      <c r="AE14">
        <v>6.2530788000000004E-2</v>
      </c>
      <c r="AF14">
        <v>6.1944271000000002E-2</v>
      </c>
      <c r="AG14">
        <v>0.108885288</v>
      </c>
      <c r="AH14">
        <v>0.10821196900000001</v>
      </c>
      <c r="AI14">
        <v>0.10708504200000001</v>
      </c>
      <c r="AJ14">
        <v>0.10468372400000001</v>
      </c>
      <c r="AK14">
        <v>0.101772141</v>
      </c>
      <c r="AL14">
        <v>9.9592638999999997E-2</v>
      </c>
      <c r="AM14">
        <v>9.6614227999999996E-2</v>
      </c>
      <c r="AN14">
        <v>0.115264241</v>
      </c>
      <c r="AO14">
        <v>0.13258477399999999</v>
      </c>
      <c r="AP14">
        <v>0.87470927099999995</v>
      </c>
    </row>
    <row r="15" spans="1:42" x14ac:dyDescent="0.2">
      <c r="A15" t="s">
        <v>138</v>
      </c>
      <c r="B15" t="s">
        <v>129</v>
      </c>
      <c r="C15" t="s">
        <v>171</v>
      </c>
      <c r="D15" t="s">
        <v>159</v>
      </c>
      <c r="E15">
        <v>7.6652764999999998E-2</v>
      </c>
      <c r="F15">
        <v>7.6319455999999994E-2</v>
      </c>
      <c r="G15" s="76">
        <v>7.5503945000000003E-2</v>
      </c>
      <c r="H15">
        <v>7.4317574999999997E-2</v>
      </c>
      <c r="I15">
        <v>7.3484898000000007E-2</v>
      </c>
      <c r="J15">
        <v>7.2906494000000002E-2</v>
      </c>
      <c r="K15">
        <v>7.2492599000000005E-2</v>
      </c>
      <c r="L15">
        <v>-5.9407034999999997E-2</v>
      </c>
      <c r="M15">
        <v>-5.5773620000000003E-2</v>
      </c>
      <c r="N15">
        <v>-6.7666479000000002E-2</v>
      </c>
      <c r="O15">
        <v>-7.9906695999999999E-2</v>
      </c>
      <c r="P15">
        <v>-7.8653209000000002E-2</v>
      </c>
      <c r="Q15">
        <v>-7.6892817000000002E-2</v>
      </c>
      <c r="R15">
        <v>-7.2513536000000003E-2</v>
      </c>
      <c r="S15">
        <v>0.232954305</v>
      </c>
      <c r="T15">
        <v>0.22643548899999999</v>
      </c>
      <c r="U15">
        <v>0.23920195599999999</v>
      </c>
      <c r="V15">
        <v>0.25573859700000001</v>
      </c>
      <c r="W15">
        <v>0.24975197599999999</v>
      </c>
      <c r="X15">
        <v>0.24818705799999999</v>
      </c>
      <c r="Y15">
        <v>0.242020979</v>
      </c>
      <c r="Z15">
        <v>-2.2570580999999999E-2</v>
      </c>
      <c r="AA15">
        <v>-2.8334703999999999E-2</v>
      </c>
      <c r="AB15">
        <v>-5.3101771999999998E-2</v>
      </c>
      <c r="AC15">
        <v>-7.4367959999999997E-2</v>
      </c>
      <c r="AD15">
        <v>-7.7692694000000007E-2</v>
      </c>
      <c r="AE15">
        <v>-7.3322143000000006E-2</v>
      </c>
      <c r="AF15">
        <v>-6.2501773999999996E-2</v>
      </c>
      <c r="AG15">
        <v>0.18594884</v>
      </c>
      <c r="AH15">
        <v>0.19224527199999999</v>
      </c>
      <c r="AI15">
        <v>0.22157655200000001</v>
      </c>
      <c r="AJ15">
        <v>0.246886678</v>
      </c>
      <c r="AK15">
        <v>0.249442574</v>
      </c>
      <c r="AL15">
        <v>0.242209807</v>
      </c>
      <c r="AM15">
        <v>0.22692525699999999</v>
      </c>
      <c r="AN15">
        <v>0.31277066199999998</v>
      </c>
      <c r="AO15">
        <v>-2.5970179999999999E-2</v>
      </c>
      <c r="AP15">
        <v>0.36396246599999998</v>
      </c>
    </row>
    <row r="16" spans="1:42" x14ac:dyDescent="0.2">
      <c r="A16" t="s">
        <v>138</v>
      </c>
      <c r="B16" t="s">
        <v>112</v>
      </c>
      <c r="C16" t="s">
        <v>361</v>
      </c>
      <c r="D16" t="s">
        <v>152</v>
      </c>
      <c r="E16">
        <v>4.9648642999999999E-2</v>
      </c>
      <c r="F16">
        <v>4.9044967000000002E-2</v>
      </c>
      <c r="G16" s="76">
        <v>4.7580719E-2</v>
      </c>
      <c r="H16">
        <v>4.5478581999999997E-2</v>
      </c>
      <c r="I16">
        <v>4.4026375E-2</v>
      </c>
      <c r="J16">
        <v>4.3030380999999999E-2</v>
      </c>
      <c r="K16">
        <v>4.2324780999999999E-2</v>
      </c>
      <c r="L16">
        <v>3.2984632999999999E-2</v>
      </c>
      <c r="M16">
        <v>3.4017658999999999E-2</v>
      </c>
      <c r="N16">
        <v>3.2387891000000002E-2</v>
      </c>
      <c r="O16">
        <v>2.9638863000000001E-2</v>
      </c>
      <c r="P16">
        <v>2.8138216000000001E-2</v>
      </c>
      <c r="Q16">
        <v>2.7428775999999998E-2</v>
      </c>
      <c r="R16">
        <v>2.7068348999999998E-2</v>
      </c>
      <c r="S16">
        <v>6.6519700000000001E-2</v>
      </c>
      <c r="T16">
        <v>6.4133248000000004E-2</v>
      </c>
      <c r="U16">
        <v>6.2931677000000005E-2</v>
      </c>
      <c r="V16">
        <v>6.1369459000000001E-2</v>
      </c>
      <c r="W16">
        <v>5.9999011999999997E-2</v>
      </c>
      <c r="X16">
        <v>5.8841362000000001E-2</v>
      </c>
      <c r="Y16">
        <v>5.7909164999999999E-2</v>
      </c>
      <c r="Z16">
        <v>4.2133457999999999E-2</v>
      </c>
      <c r="AA16">
        <v>4.0652049000000003E-2</v>
      </c>
      <c r="AB16">
        <v>3.6843353000000002E-2</v>
      </c>
      <c r="AC16">
        <v>3.1670052999999997E-2</v>
      </c>
      <c r="AD16">
        <v>2.9516328000000001E-2</v>
      </c>
      <c r="AE16">
        <v>2.8945406E-2</v>
      </c>
      <c r="AF16">
        <v>2.8855832000000001E-2</v>
      </c>
      <c r="AG16">
        <v>5.7217853999999999E-2</v>
      </c>
      <c r="AH16">
        <v>5.7505557999999998E-2</v>
      </c>
      <c r="AI16">
        <v>5.8429226000000001E-2</v>
      </c>
      <c r="AJ16">
        <v>5.947202E-2</v>
      </c>
      <c r="AK16">
        <v>5.8740951E-2</v>
      </c>
      <c r="AL16">
        <v>5.7308234999999999E-2</v>
      </c>
      <c r="AM16">
        <v>5.5970165000000002E-2</v>
      </c>
      <c r="AN16">
        <v>4.8182148000000001E-2</v>
      </c>
      <c r="AO16">
        <v>0.77842230300000004</v>
      </c>
      <c r="AP16">
        <v>-7.1895240999999999E-2</v>
      </c>
    </row>
    <row r="17" spans="1:42" x14ac:dyDescent="0.2">
      <c r="A17" t="s">
        <v>138</v>
      </c>
      <c r="B17" t="s">
        <v>112</v>
      </c>
      <c r="C17" t="s">
        <v>362</v>
      </c>
      <c r="D17" t="s">
        <v>151</v>
      </c>
      <c r="E17">
        <v>5.2521348000000002E-2</v>
      </c>
      <c r="F17">
        <v>5.1619052999999998E-2</v>
      </c>
      <c r="G17" s="76">
        <v>4.9437403999999997E-2</v>
      </c>
      <c r="H17">
        <v>4.6323656999999997E-2</v>
      </c>
      <c r="I17">
        <v>4.4186950000000003E-2</v>
      </c>
      <c r="J17">
        <v>4.2729734999999998E-2</v>
      </c>
      <c r="K17">
        <v>4.1702032E-2</v>
      </c>
      <c r="L17">
        <v>2.8430461000000001E-2</v>
      </c>
      <c r="M17">
        <v>2.9203893000000002E-2</v>
      </c>
      <c r="N17">
        <v>2.7749935E-2</v>
      </c>
      <c r="O17">
        <v>2.5048389000000001E-2</v>
      </c>
      <c r="P17">
        <v>2.3099910000000001E-2</v>
      </c>
      <c r="Q17">
        <v>2.2302513E-2</v>
      </c>
      <c r="R17">
        <v>2.2101638E-2</v>
      </c>
      <c r="S17">
        <v>7.7198362000000006E-2</v>
      </c>
      <c r="T17">
        <v>7.3816143000000001E-2</v>
      </c>
      <c r="U17">
        <v>7.1596664000000004E-2</v>
      </c>
      <c r="V17">
        <v>6.8365289999999995E-2</v>
      </c>
      <c r="W17">
        <v>6.5631076999999996E-2</v>
      </c>
      <c r="X17">
        <v>6.3734511999999993E-2</v>
      </c>
      <c r="Y17">
        <v>6.1750589000000002E-2</v>
      </c>
      <c r="Z17">
        <v>3.5001354999999998E-2</v>
      </c>
      <c r="AA17">
        <v>3.4239077999999999E-2</v>
      </c>
      <c r="AB17">
        <v>3.0527631999999999E-2</v>
      </c>
      <c r="AC17">
        <v>2.6232839000000001E-2</v>
      </c>
      <c r="AD17">
        <v>2.4555481000000001E-2</v>
      </c>
      <c r="AE17">
        <v>2.4666616999999998E-2</v>
      </c>
      <c r="AF17">
        <v>2.4604840999999999E-2</v>
      </c>
      <c r="AG17">
        <v>7.0337975999999997E-2</v>
      </c>
      <c r="AH17">
        <v>6.9291059000000002E-2</v>
      </c>
      <c r="AI17">
        <v>6.8694324000000001E-2</v>
      </c>
      <c r="AJ17">
        <v>6.6807736000000006E-2</v>
      </c>
      <c r="AK17">
        <v>6.4194550000000003E-2</v>
      </c>
      <c r="AL17">
        <v>6.1111442000000002E-2</v>
      </c>
      <c r="AM17">
        <v>5.9084488999999997E-2</v>
      </c>
      <c r="AN17">
        <v>5.3724719999999997E-2</v>
      </c>
      <c r="AO17">
        <v>0.739625635</v>
      </c>
      <c r="AP17">
        <v>-0.12992663400000001</v>
      </c>
    </row>
    <row r="18" spans="1:42" x14ac:dyDescent="0.2">
      <c r="A18" t="s">
        <v>138</v>
      </c>
      <c r="B18" t="s">
        <v>112</v>
      </c>
      <c r="C18" t="s">
        <v>356</v>
      </c>
      <c r="D18" t="s">
        <v>150</v>
      </c>
      <c r="E18">
        <v>5.0977467999999998E-2</v>
      </c>
      <c r="F18">
        <v>5.0886393000000002E-2</v>
      </c>
      <c r="G18" s="76">
        <v>5.0653814999999998E-2</v>
      </c>
      <c r="H18">
        <v>5.029285E-2</v>
      </c>
      <c r="I18">
        <v>5.0020932999999997E-2</v>
      </c>
      <c r="J18">
        <v>4.9821258E-2</v>
      </c>
      <c r="K18">
        <v>4.9672484000000003E-2</v>
      </c>
      <c r="L18">
        <v>3.2069522000000003E-2</v>
      </c>
      <c r="M18">
        <v>3.3878736999999999E-2</v>
      </c>
      <c r="N18">
        <v>3.3884457999999999E-2</v>
      </c>
      <c r="O18">
        <v>3.3035328000000003E-2</v>
      </c>
      <c r="P18">
        <v>3.3111163999999998E-2</v>
      </c>
      <c r="Q18">
        <v>3.3405363E-2</v>
      </c>
      <c r="R18">
        <v>3.3794391999999999E-2</v>
      </c>
      <c r="S18">
        <v>7.0061162999999996E-2</v>
      </c>
      <c r="T18">
        <v>6.8105747999999994E-2</v>
      </c>
      <c r="U18">
        <v>6.7664374999999999E-2</v>
      </c>
      <c r="V18">
        <v>6.7179855999999996E-2</v>
      </c>
      <c r="W18">
        <v>6.6888185000000003E-2</v>
      </c>
      <c r="X18">
        <v>6.6322671E-2</v>
      </c>
      <c r="Y18">
        <v>6.5679667999999997E-2</v>
      </c>
      <c r="Z18">
        <v>4.3478625E-2</v>
      </c>
      <c r="AA18">
        <v>4.2986791000000003E-2</v>
      </c>
      <c r="AB18">
        <v>4.0301676000000002E-2</v>
      </c>
      <c r="AC18">
        <v>3.7296131000000003E-2</v>
      </c>
      <c r="AD18">
        <v>3.5920338000000003E-2</v>
      </c>
      <c r="AE18">
        <v>3.5476582E-2</v>
      </c>
      <c r="AF18">
        <v>3.5967726999999998E-2</v>
      </c>
      <c r="AG18">
        <v>5.8530484000000001E-2</v>
      </c>
      <c r="AH18">
        <v>5.8845768999999999E-2</v>
      </c>
      <c r="AI18">
        <v>6.1108951000000002E-2</v>
      </c>
      <c r="AJ18">
        <v>6.3452411E-2</v>
      </c>
      <c r="AK18">
        <v>6.4313329000000002E-2</v>
      </c>
      <c r="AL18">
        <v>6.4364516999999996E-2</v>
      </c>
      <c r="AM18">
        <v>6.3558603000000005E-2</v>
      </c>
      <c r="AN18">
        <v>5.6393993000000003E-2</v>
      </c>
      <c r="AO18">
        <v>0.67547378300000005</v>
      </c>
      <c r="AP18">
        <v>0.22542145099999999</v>
      </c>
    </row>
    <row r="19" spans="1:42" x14ac:dyDescent="0.2">
      <c r="A19" t="s">
        <v>138</v>
      </c>
      <c r="B19" t="s">
        <v>112</v>
      </c>
      <c r="C19" t="s">
        <v>363</v>
      </c>
      <c r="D19" t="s">
        <v>149</v>
      </c>
      <c r="E19">
        <v>6.2057136999999998E-2</v>
      </c>
      <c r="F19">
        <v>6.2200904000000001E-2</v>
      </c>
      <c r="G19" s="76">
        <v>6.2533854999999999E-2</v>
      </c>
      <c r="H19">
        <v>6.2973499000000002E-2</v>
      </c>
      <c r="I19">
        <v>6.3245177E-2</v>
      </c>
      <c r="J19">
        <v>6.3412666000000006E-2</v>
      </c>
      <c r="K19">
        <v>6.3520908000000001E-2</v>
      </c>
      <c r="L19">
        <v>2.4203183E-2</v>
      </c>
      <c r="M19">
        <v>2.7553370000000001E-2</v>
      </c>
      <c r="N19">
        <v>2.9331458000000001E-2</v>
      </c>
      <c r="O19">
        <v>3.0262174999999999E-2</v>
      </c>
      <c r="P19">
        <v>3.1674958000000003E-2</v>
      </c>
      <c r="Q19">
        <v>3.2738713000000003E-2</v>
      </c>
      <c r="R19">
        <v>3.4658973000000003E-2</v>
      </c>
      <c r="S19">
        <v>0.101657701</v>
      </c>
      <c r="T19">
        <v>9.8227672000000002E-2</v>
      </c>
      <c r="U19">
        <v>9.6815085999999995E-2</v>
      </c>
      <c r="V19">
        <v>9.6379566999999999E-2</v>
      </c>
      <c r="W19">
        <v>9.6029913999999994E-2</v>
      </c>
      <c r="X19">
        <v>9.4767138000000001E-2</v>
      </c>
      <c r="Y19">
        <v>9.3392718999999999E-2</v>
      </c>
      <c r="Z19">
        <v>4.2564822000000002E-2</v>
      </c>
      <c r="AA19">
        <v>4.2754892000000003E-2</v>
      </c>
      <c r="AB19">
        <v>3.9984769000000003E-2</v>
      </c>
      <c r="AC19">
        <v>3.811084E-2</v>
      </c>
      <c r="AD19">
        <v>3.6576694999999999E-2</v>
      </c>
      <c r="AE19">
        <v>3.7600092000000002E-2</v>
      </c>
      <c r="AF19">
        <v>3.8936367E-2</v>
      </c>
      <c r="AG19">
        <v>8.1913958999999995E-2</v>
      </c>
      <c r="AH19">
        <v>8.2009585999999995E-2</v>
      </c>
      <c r="AI19">
        <v>8.5571808999999999E-2</v>
      </c>
      <c r="AJ19">
        <v>8.8431740999999994E-2</v>
      </c>
      <c r="AK19">
        <v>9.0599776000000007E-2</v>
      </c>
      <c r="AL19">
        <v>8.9867261000000004E-2</v>
      </c>
      <c r="AM19">
        <v>8.8687032999999998E-2</v>
      </c>
      <c r="AN19">
        <v>0.10597466799999999</v>
      </c>
      <c r="AO19">
        <v>0.64507259500000003</v>
      </c>
      <c r="AP19">
        <v>0.25026099800000001</v>
      </c>
    </row>
    <row r="20" spans="1:42" x14ac:dyDescent="0.2">
      <c r="A20" t="s">
        <v>138</v>
      </c>
      <c r="B20" t="s">
        <v>112</v>
      </c>
      <c r="C20" t="s">
        <v>357</v>
      </c>
      <c r="D20" t="s">
        <v>148</v>
      </c>
      <c r="E20">
        <v>4.7061682000000001E-2</v>
      </c>
      <c r="F20">
        <v>4.6279430000000003E-2</v>
      </c>
      <c r="G20" s="76">
        <v>4.4386148E-2</v>
      </c>
      <c r="H20">
        <v>4.1678905000000002E-2</v>
      </c>
      <c r="I20">
        <v>3.9817333000000003E-2</v>
      </c>
      <c r="J20">
        <v>3.8545489000000002E-2</v>
      </c>
      <c r="K20">
        <v>3.7647128000000002E-2</v>
      </c>
      <c r="L20">
        <v>3.072132E-2</v>
      </c>
      <c r="M20">
        <v>3.1534410999999998E-2</v>
      </c>
      <c r="N20">
        <v>2.9733971000000001E-2</v>
      </c>
      <c r="O20">
        <v>2.6156235E-2</v>
      </c>
      <c r="P20">
        <v>2.4456001000000002E-2</v>
      </c>
      <c r="Q20">
        <v>2.3429068000000001E-2</v>
      </c>
      <c r="R20">
        <v>2.2768051000000001E-2</v>
      </c>
      <c r="S20">
        <v>6.3634146000000003E-2</v>
      </c>
      <c r="T20">
        <v>6.1239185000000002E-2</v>
      </c>
      <c r="U20">
        <v>5.9315760000000002E-2</v>
      </c>
      <c r="V20">
        <v>5.7139839999999997E-2</v>
      </c>
      <c r="W20">
        <v>5.5424402999999997E-2</v>
      </c>
      <c r="X20">
        <v>5.3903774000000002E-2</v>
      </c>
      <c r="Y20">
        <v>5.2745298000000003E-2</v>
      </c>
      <c r="Z20">
        <v>3.9494056999999999E-2</v>
      </c>
      <c r="AA20">
        <v>3.8466741999999998E-2</v>
      </c>
      <c r="AB20">
        <v>3.4035324999999998E-2</v>
      </c>
      <c r="AC20">
        <v>2.8307329999999999E-2</v>
      </c>
      <c r="AD20">
        <v>2.5612645999999999E-2</v>
      </c>
      <c r="AE20">
        <v>2.4294947000000001E-2</v>
      </c>
      <c r="AF20">
        <v>2.3924203000000002E-2</v>
      </c>
      <c r="AG20">
        <v>5.4684485999999997E-2</v>
      </c>
      <c r="AH20">
        <v>5.4150946999999998E-2</v>
      </c>
      <c r="AI20">
        <v>5.4840658E-2</v>
      </c>
      <c r="AJ20">
        <v>5.5224400999999999E-2</v>
      </c>
      <c r="AK20">
        <v>5.4218659000000002E-2</v>
      </c>
      <c r="AL20">
        <v>5.2994300000000001E-2</v>
      </c>
      <c r="AM20">
        <v>5.1554111E-2</v>
      </c>
      <c r="AN20">
        <v>4.7516528000000002E-2</v>
      </c>
      <c r="AO20">
        <v>0.77186784100000005</v>
      </c>
      <c r="AP20">
        <v>-0.25686875399999998</v>
      </c>
    </row>
    <row r="21" spans="1:42" x14ac:dyDescent="0.2">
      <c r="A21" t="s">
        <v>138</v>
      </c>
      <c r="B21" t="s">
        <v>112</v>
      </c>
      <c r="C21" t="s">
        <v>364</v>
      </c>
      <c r="D21" t="s">
        <v>147</v>
      </c>
      <c r="E21">
        <v>6.8573356000000002E-2</v>
      </c>
      <c r="F21">
        <v>6.6626309999999994E-2</v>
      </c>
      <c r="G21" s="76">
        <v>6.1941266000000002E-2</v>
      </c>
      <c r="H21">
        <v>5.5308580000000003E-2</v>
      </c>
      <c r="I21">
        <v>5.0799847000000002E-2</v>
      </c>
      <c r="J21">
        <v>4.7748208E-2</v>
      </c>
      <c r="K21">
        <v>4.5608044E-2</v>
      </c>
      <c r="L21">
        <v>2.4835459000000001E-2</v>
      </c>
      <c r="M21">
        <v>2.6223093999999999E-2</v>
      </c>
      <c r="N21">
        <v>2.3678333999999999E-2</v>
      </c>
      <c r="O21">
        <v>1.8064612000000001E-2</v>
      </c>
      <c r="P21">
        <v>1.4897844E-2</v>
      </c>
      <c r="Q21">
        <v>1.3549543000000001E-2</v>
      </c>
      <c r="R21">
        <v>1.3014285E-2</v>
      </c>
      <c r="S21">
        <v>0.114385774</v>
      </c>
      <c r="T21">
        <v>0.108157831</v>
      </c>
      <c r="U21">
        <v>0.102187083</v>
      </c>
      <c r="V21">
        <v>9.3942226000000004E-2</v>
      </c>
      <c r="W21">
        <v>8.8139930000000005E-2</v>
      </c>
      <c r="X21">
        <v>8.3238483000000002E-2</v>
      </c>
      <c r="Y21">
        <v>7.9256499999999994E-2</v>
      </c>
      <c r="Z21">
        <v>4.4025831000000001E-2</v>
      </c>
      <c r="AA21">
        <v>4.2354231999999999E-2</v>
      </c>
      <c r="AB21">
        <v>3.4769408000000002E-2</v>
      </c>
      <c r="AC21">
        <v>2.6207467000000002E-2</v>
      </c>
      <c r="AD21">
        <v>2.1029938000000001E-2</v>
      </c>
      <c r="AE21">
        <v>1.8046811999999999E-2</v>
      </c>
      <c r="AF21">
        <v>1.6402343E-2</v>
      </c>
      <c r="AG21">
        <v>9.3698213000000002E-2</v>
      </c>
      <c r="AH21">
        <v>9.1463530000000001E-2</v>
      </c>
      <c r="AI21">
        <v>8.9826702999999994E-2</v>
      </c>
      <c r="AJ21">
        <v>8.5235027000000005E-2</v>
      </c>
      <c r="AK21">
        <v>8.1437619000000003E-2</v>
      </c>
      <c r="AL21">
        <v>7.8316061000000006E-2</v>
      </c>
      <c r="AM21">
        <v>7.5652951999999996E-2</v>
      </c>
      <c r="AN21">
        <v>0.11928757700000001</v>
      </c>
      <c r="AO21">
        <v>0.75728729400000006</v>
      </c>
      <c r="AP21">
        <v>-0.20619309799999999</v>
      </c>
    </row>
    <row r="22" spans="1:42" x14ac:dyDescent="0.2">
      <c r="A22" t="s">
        <v>138</v>
      </c>
      <c r="B22" t="s">
        <v>112</v>
      </c>
      <c r="C22" t="s">
        <v>122</v>
      </c>
      <c r="D22" t="s">
        <v>121</v>
      </c>
      <c r="E22">
        <v>5.4288982999999999E-2</v>
      </c>
      <c r="F22">
        <v>5.4618596999999998E-2</v>
      </c>
      <c r="G22" s="76">
        <v>5.5399298999999999E-2</v>
      </c>
      <c r="H22">
        <v>5.6474327999999997E-2</v>
      </c>
      <c r="I22">
        <v>5.7178020000000003E-2</v>
      </c>
      <c r="J22">
        <v>5.7637810999999997E-2</v>
      </c>
      <c r="K22">
        <v>5.7950974000000002E-2</v>
      </c>
      <c r="L22">
        <v>1.8866801999999998E-2</v>
      </c>
      <c r="M22">
        <v>2.1566630999999999E-2</v>
      </c>
      <c r="N22">
        <v>2.2451601000000002E-2</v>
      </c>
      <c r="O22">
        <v>2.3264982E-2</v>
      </c>
      <c r="P22">
        <v>2.4519632E-2</v>
      </c>
      <c r="Q22">
        <v>2.5947023E-2</v>
      </c>
      <c r="R22">
        <v>2.7644584999999999E-2</v>
      </c>
      <c r="S22">
        <v>9.1047197999999996E-2</v>
      </c>
      <c r="T22">
        <v>8.8670479999999996E-2</v>
      </c>
      <c r="U22">
        <v>8.9989436000000006E-2</v>
      </c>
      <c r="V22">
        <v>9.0538991999999999E-2</v>
      </c>
      <c r="W22">
        <v>9.0347002999999995E-2</v>
      </c>
      <c r="X22">
        <v>9.0085318999999997E-2</v>
      </c>
      <c r="Y22">
        <v>8.9011676999999997E-2</v>
      </c>
      <c r="Z22">
        <v>3.0283307999999998E-2</v>
      </c>
      <c r="AA22">
        <v>3.0007684E-2</v>
      </c>
      <c r="AB22">
        <v>2.8316272999999999E-2</v>
      </c>
      <c r="AC22">
        <v>2.7260517000000001E-2</v>
      </c>
      <c r="AD22">
        <v>2.9071545000000001E-2</v>
      </c>
      <c r="AE22">
        <v>2.8989155999999999E-2</v>
      </c>
      <c r="AF22">
        <v>3.0142769999999999E-2</v>
      </c>
      <c r="AG22">
        <v>7.8854125999999997E-2</v>
      </c>
      <c r="AH22">
        <v>7.9817683E-2</v>
      </c>
      <c r="AI22">
        <v>8.3195690000000003E-2</v>
      </c>
      <c r="AJ22">
        <v>8.6518891000000001E-2</v>
      </c>
      <c r="AK22">
        <v>8.6052366000000005E-2</v>
      </c>
      <c r="AL22">
        <v>8.7084275000000003E-2</v>
      </c>
      <c r="AM22">
        <v>8.6509813000000005E-2</v>
      </c>
      <c r="AN22">
        <v>8.5470008E-2</v>
      </c>
      <c r="AO22">
        <v>0.42543811999999998</v>
      </c>
      <c r="AP22">
        <v>0.46322206500000002</v>
      </c>
    </row>
    <row r="23" spans="1:42" x14ac:dyDescent="0.2">
      <c r="A23" t="s">
        <v>138</v>
      </c>
      <c r="B23" t="s">
        <v>112</v>
      </c>
      <c r="C23" t="s">
        <v>358</v>
      </c>
      <c r="D23" t="s">
        <v>146</v>
      </c>
      <c r="E23">
        <v>5.8077216000000001E-2</v>
      </c>
      <c r="F23">
        <v>5.7756543E-2</v>
      </c>
      <c r="G23" s="76">
        <v>5.6972265000000001E-2</v>
      </c>
      <c r="H23">
        <v>5.5830240000000003E-2</v>
      </c>
      <c r="I23">
        <v>5.5028199999999999E-2</v>
      </c>
      <c r="J23">
        <v>5.4470657999999998E-2</v>
      </c>
      <c r="K23">
        <v>5.4071545999999998E-2</v>
      </c>
      <c r="L23">
        <v>3.3084891999999998E-2</v>
      </c>
      <c r="M23">
        <v>3.4161298999999999E-2</v>
      </c>
      <c r="N23">
        <v>3.3760684999999999E-2</v>
      </c>
      <c r="O23">
        <v>3.2415138000000003E-2</v>
      </c>
      <c r="P23">
        <v>3.1962905999999999E-2</v>
      </c>
      <c r="Q23">
        <v>3.2197572000000001E-2</v>
      </c>
      <c r="R23">
        <v>3.2443370999999999E-2</v>
      </c>
      <c r="S23">
        <v>8.3992259E-2</v>
      </c>
      <c r="T23">
        <v>8.1547798000000005E-2</v>
      </c>
      <c r="U23">
        <v>8.0579041000000004E-2</v>
      </c>
      <c r="V23">
        <v>7.9587669999999999E-2</v>
      </c>
      <c r="W23">
        <v>7.8817284000000001E-2</v>
      </c>
      <c r="X23">
        <v>7.7344839999999998E-2</v>
      </c>
      <c r="Y23">
        <v>7.6203258999999995E-2</v>
      </c>
      <c r="Z23">
        <v>4.2797204999999998E-2</v>
      </c>
      <c r="AA23">
        <v>4.1776792E-2</v>
      </c>
      <c r="AB23">
        <v>3.8853515999999998E-2</v>
      </c>
      <c r="AC23">
        <v>3.4529431999999999E-2</v>
      </c>
      <c r="AD23">
        <v>3.3327106000000002E-2</v>
      </c>
      <c r="AE23">
        <v>3.3646994E-2</v>
      </c>
      <c r="AF23">
        <v>3.3746937999999997E-2</v>
      </c>
      <c r="AG23">
        <v>7.3581202999999998E-2</v>
      </c>
      <c r="AH23">
        <v>7.3981502000000005E-2</v>
      </c>
      <c r="AI23">
        <v>7.5406792E-2</v>
      </c>
      <c r="AJ23">
        <v>7.7569582999999998E-2</v>
      </c>
      <c r="AK23">
        <v>7.7185083000000002E-2</v>
      </c>
      <c r="AL23">
        <v>7.5713805999999995E-2</v>
      </c>
      <c r="AM23">
        <v>7.4795683000000002E-2</v>
      </c>
      <c r="AN23">
        <v>6.2561890999999994E-2</v>
      </c>
      <c r="AO23">
        <v>0.13322489100000001</v>
      </c>
      <c r="AP23">
        <v>0.63505899899999996</v>
      </c>
    </row>
    <row r="24" spans="1:42" x14ac:dyDescent="0.2">
      <c r="A24" t="s">
        <v>138</v>
      </c>
      <c r="B24" t="s">
        <v>112</v>
      </c>
      <c r="C24" t="s">
        <v>365</v>
      </c>
      <c r="D24" t="s">
        <v>145</v>
      </c>
      <c r="E24">
        <v>5.0515413000000002E-2</v>
      </c>
      <c r="F24">
        <v>4.9613475999999997E-2</v>
      </c>
      <c r="G24" s="76">
        <v>4.7432899000000001E-2</v>
      </c>
      <c r="H24">
        <v>4.4320582999999997E-2</v>
      </c>
      <c r="I24">
        <v>4.2184948999999999E-2</v>
      </c>
      <c r="J24">
        <v>4.0728568999999999E-2</v>
      </c>
      <c r="K24">
        <v>3.9701343E-2</v>
      </c>
      <c r="L24">
        <v>3.1329605000000003E-2</v>
      </c>
      <c r="M24">
        <v>3.2065361000000001E-2</v>
      </c>
      <c r="N24">
        <v>2.9595356999999999E-2</v>
      </c>
      <c r="O24">
        <v>2.6225417000000001E-2</v>
      </c>
      <c r="P24">
        <v>2.3774956E-2</v>
      </c>
      <c r="Q24">
        <v>2.279049E-2</v>
      </c>
      <c r="R24">
        <v>2.2445975999999999E-2</v>
      </c>
      <c r="S24">
        <v>7.0060721000000006E-2</v>
      </c>
      <c r="T24">
        <v>6.7509894000000001E-2</v>
      </c>
      <c r="U24">
        <v>6.5116938999999999E-2</v>
      </c>
      <c r="V24">
        <v>6.2826829000000001E-2</v>
      </c>
      <c r="W24">
        <v>6.0693981000000001E-2</v>
      </c>
      <c r="X24">
        <v>5.8831352000000003E-2</v>
      </c>
      <c r="Y24">
        <v>5.7095654000000003E-2</v>
      </c>
      <c r="Z24">
        <v>4.0685273000000001E-2</v>
      </c>
      <c r="AA24">
        <v>3.8934306000000002E-2</v>
      </c>
      <c r="AB24">
        <v>3.4340036999999997E-2</v>
      </c>
      <c r="AC24">
        <v>2.8451700999999999E-2</v>
      </c>
      <c r="AD24">
        <v>2.5288138000000002E-2</v>
      </c>
      <c r="AE24">
        <v>2.3678622E-2</v>
      </c>
      <c r="AF24">
        <v>2.3304622000000001E-2</v>
      </c>
      <c r="AG24">
        <v>6.0438423999999998E-2</v>
      </c>
      <c r="AH24">
        <v>6.0402434999999997E-2</v>
      </c>
      <c r="AI24">
        <v>6.0691573999999998E-2</v>
      </c>
      <c r="AJ24">
        <v>6.0434308999999999E-2</v>
      </c>
      <c r="AK24">
        <v>5.9360243E-2</v>
      </c>
      <c r="AL24">
        <v>5.8062550999999997E-2</v>
      </c>
      <c r="AM24">
        <v>5.6360800000000003E-2</v>
      </c>
      <c r="AN24">
        <v>5.2459008000000001E-2</v>
      </c>
      <c r="AO24">
        <v>0.56546717899999999</v>
      </c>
      <c r="AP24">
        <v>0.13212676200000001</v>
      </c>
    </row>
    <row r="25" spans="1:42" x14ac:dyDescent="0.2">
      <c r="A25" t="s">
        <v>138</v>
      </c>
      <c r="B25" t="s">
        <v>112</v>
      </c>
      <c r="C25" t="s">
        <v>116</v>
      </c>
      <c r="D25" t="s">
        <v>115</v>
      </c>
      <c r="E25">
        <v>5.5273533E-2</v>
      </c>
      <c r="F25">
        <v>5.4793715E-2</v>
      </c>
      <c r="G25" s="76">
        <v>5.3626895000000001E-2</v>
      </c>
      <c r="H25">
        <v>5.1944733E-2</v>
      </c>
      <c r="I25">
        <v>5.0776600999999998E-2</v>
      </c>
      <c r="J25">
        <v>4.9972177E-2</v>
      </c>
      <c r="K25">
        <v>4.9400329999999999E-2</v>
      </c>
      <c r="L25">
        <v>2.3270868E-2</v>
      </c>
      <c r="M25">
        <v>2.6522807999999998E-2</v>
      </c>
      <c r="N25">
        <v>2.8174992999999999E-2</v>
      </c>
      <c r="O25">
        <v>2.7407963E-2</v>
      </c>
      <c r="P25">
        <v>2.7193423000000001E-2</v>
      </c>
      <c r="Q25">
        <v>2.7330978999999998E-2</v>
      </c>
      <c r="R25">
        <v>2.7951268000000001E-2</v>
      </c>
      <c r="S25">
        <v>8.8009667999999999E-2</v>
      </c>
      <c r="T25">
        <v>8.3814894000000001E-2</v>
      </c>
      <c r="U25">
        <v>7.9884915000000001E-2</v>
      </c>
      <c r="V25">
        <v>7.7141725999999994E-2</v>
      </c>
      <c r="W25">
        <v>7.4661751999999998E-2</v>
      </c>
      <c r="X25">
        <v>7.3073021000000002E-2</v>
      </c>
      <c r="Y25">
        <v>7.1171276000000006E-2</v>
      </c>
      <c r="Z25">
        <v>4.1242078000000001E-2</v>
      </c>
      <c r="AA25">
        <v>4.1036135000000001E-2</v>
      </c>
      <c r="AB25">
        <v>3.8302607000000002E-2</v>
      </c>
      <c r="AC25">
        <v>3.3882178999999998E-2</v>
      </c>
      <c r="AD25">
        <v>3.2805659000000001E-2</v>
      </c>
      <c r="AE25">
        <v>3.1872931E-2</v>
      </c>
      <c r="AF25">
        <v>3.1677687000000003E-2</v>
      </c>
      <c r="AG25">
        <v>6.9493975999999999E-2</v>
      </c>
      <c r="AH25">
        <v>6.8733136E-2</v>
      </c>
      <c r="AI25">
        <v>6.9177423000000002E-2</v>
      </c>
      <c r="AJ25">
        <v>7.0322836999999999E-2</v>
      </c>
      <c r="AK25">
        <v>6.9060355000000004E-2</v>
      </c>
      <c r="AL25">
        <v>6.8388908999999998E-2</v>
      </c>
      <c r="AM25">
        <v>6.7427608E-2</v>
      </c>
      <c r="AN25">
        <v>9.1510709999999995E-2</v>
      </c>
      <c r="AO25">
        <v>0.32206488999999999</v>
      </c>
      <c r="AP25">
        <v>0.49491371699999998</v>
      </c>
    </row>
    <row r="26" spans="1:42" x14ac:dyDescent="0.2">
      <c r="A26" t="s">
        <v>138</v>
      </c>
      <c r="B26" t="s">
        <v>112</v>
      </c>
      <c r="C26" t="s">
        <v>366</v>
      </c>
      <c r="D26" t="s">
        <v>154</v>
      </c>
      <c r="E26">
        <v>3.3474325999999999E-2</v>
      </c>
      <c r="F26">
        <v>3.3421515999999998E-2</v>
      </c>
      <c r="G26" s="76">
        <v>3.3281564999999999E-2</v>
      </c>
      <c r="H26">
        <v>3.3052325E-2</v>
      </c>
      <c r="I26">
        <v>3.2870173000000003E-2</v>
      </c>
      <c r="J26">
        <v>3.2731533E-2</v>
      </c>
      <c r="K26">
        <v>3.2625556E-2</v>
      </c>
      <c r="L26">
        <v>3.3387405000000002E-2</v>
      </c>
      <c r="M26">
        <v>3.1067028999999999E-2</v>
      </c>
      <c r="N26">
        <v>2.7795599000000001E-2</v>
      </c>
      <c r="O26">
        <v>2.4654498E-2</v>
      </c>
      <c r="P26">
        <v>2.3305200000000002E-2</v>
      </c>
      <c r="Q26">
        <v>2.2657813999999998E-2</v>
      </c>
      <c r="R26">
        <v>2.2731632000000002E-2</v>
      </c>
      <c r="S26">
        <v>3.3561261000000002E-2</v>
      </c>
      <c r="T26">
        <v>3.5781344999999999E-2</v>
      </c>
      <c r="U26">
        <v>3.8796853999999999E-2</v>
      </c>
      <c r="V26">
        <v>4.1518993999999997E-2</v>
      </c>
      <c r="W26">
        <v>4.2524615000000002E-2</v>
      </c>
      <c r="X26">
        <v>4.2904381999999998E-2</v>
      </c>
      <c r="Y26">
        <v>4.2615322999999997E-2</v>
      </c>
      <c r="Z26">
        <v>3.3386535000000002E-2</v>
      </c>
      <c r="AA26">
        <v>3.1016761E-2</v>
      </c>
      <c r="AB26">
        <v>2.7877836999999999E-2</v>
      </c>
      <c r="AC26">
        <v>2.4216877000000001E-2</v>
      </c>
      <c r="AD26">
        <v>2.2903636000000002E-2</v>
      </c>
      <c r="AE26">
        <v>2.254747E-2</v>
      </c>
      <c r="AF26">
        <v>2.2807282000000002E-2</v>
      </c>
      <c r="AG26">
        <v>3.3562130000000003E-2</v>
      </c>
      <c r="AH26">
        <v>3.5831845000000001E-2</v>
      </c>
      <c r="AI26">
        <v>3.8713747999999999E-2</v>
      </c>
      <c r="AJ26">
        <v>4.1964000000000001E-2</v>
      </c>
      <c r="AK26">
        <v>4.2933882999999999E-2</v>
      </c>
      <c r="AL26">
        <v>4.3016922999999999E-2</v>
      </c>
      <c r="AM26">
        <v>4.2538201999999997E-2</v>
      </c>
      <c r="AN26">
        <v>0</v>
      </c>
      <c r="AO26">
        <v>0</v>
      </c>
      <c r="AP26">
        <v>0</v>
      </c>
    </row>
    <row r="27" spans="1:42" x14ac:dyDescent="0.2">
      <c r="A27" t="s">
        <v>138</v>
      </c>
      <c r="B27" t="s">
        <v>112</v>
      </c>
      <c r="C27" t="s">
        <v>367</v>
      </c>
      <c r="D27" t="s">
        <v>144</v>
      </c>
      <c r="E27">
        <v>5.1207900000000001E-2</v>
      </c>
      <c r="F27">
        <v>5.0530671999999999E-2</v>
      </c>
      <c r="G27" s="76">
        <v>4.8889637E-2</v>
      </c>
      <c r="H27">
        <v>4.6538114999999998E-2</v>
      </c>
      <c r="I27">
        <v>4.4916986999999998E-2</v>
      </c>
      <c r="J27">
        <v>4.3807148999999997E-2</v>
      </c>
      <c r="K27">
        <v>4.3021917E-2</v>
      </c>
      <c r="L27">
        <v>4.0060126000000001E-2</v>
      </c>
      <c r="M27">
        <v>4.0418124999999999E-2</v>
      </c>
      <c r="N27">
        <v>3.8158266000000003E-2</v>
      </c>
      <c r="O27">
        <v>3.4252348000000002E-2</v>
      </c>
      <c r="P27">
        <v>3.1924029999999999E-2</v>
      </c>
      <c r="Q27">
        <v>3.0959678000000001E-2</v>
      </c>
      <c r="R27">
        <v>3.0318660000000001E-2</v>
      </c>
      <c r="S27">
        <v>6.2253306000000001E-2</v>
      </c>
      <c r="T27">
        <v>6.0768577999999997E-2</v>
      </c>
      <c r="U27">
        <v>5.9727031999999999E-2</v>
      </c>
      <c r="V27">
        <v>5.8915374999999999E-2</v>
      </c>
      <c r="W27">
        <v>5.7998476E-2</v>
      </c>
      <c r="X27">
        <v>5.6885243000000002E-2</v>
      </c>
      <c r="Y27">
        <v>5.5837119999999997E-2</v>
      </c>
      <c r="Z27">
        <v>4.6324473999999997E-2</v>
      </c>
      <c r="AA27">
        <v>4.4962153999999997E-2</v>
      </c>
      <c r="AB27">
        <v>4.0923695000000003E-2</v>
      </c>
      <c r="AC27">
        <v>3.5181469E-2</v>
      </c>
      <c r="AD27">
        <v>3.2118033999999997E-2</v>
      </c>
      <c r="AE27">
        <v>3.1495726000000002E-2</v>
      </c>
      <c r="AF27">
        <v>3.1154047000000001E-2</v>
      </c>
      <c r="AG27">
        <v>5.6114072000000001E-2</v>
      </c>
      <c r="AH27">
        <v>5.6128912000000003E-2</v>
      </c>
      <c r="AI27">
        <v>5.6916634000000001E-2</v>
      </c>
      <c r="AJ27">
        <v>5.8019359E-2</v>
      </c>
      <c r="AK27">
        <v>5.7874631000000003E-2</v>
      </c>
      <c r="AL27">
        <v>5.6265505E-2</v>
      </c>
      <c r="AM27">
        <v>5.5026494000000002E-2</v>
      </c>
      <c r="AN27">
        <v>3.1485302999999999E-2</v>
      </c>
      <c r="AO27">
        <v>1</v>
      </c>
      <c r="AP27">
        <v>-7.5440752999999999E-2</v>
      </c>
    </row>
    <row r="28" spans="1:42" x14ac:dyDescent="0.2">
      <c r="A28" t="s">
        <v>138</v>
      </c>
      <c r="B28" t="s">
        <v>112</v>
      </c>
      <c r="C28" t="s">
        <v>381</v>
      </c>
      <c r="D28" t="s">
        <v>165</v>
      </c>
      <c r="E28">
        <v>4.9571156999999998E-2</v>
      </c>
      <c r="F28">
        <v>4.9050689000000001E-2</v>
      </c>
      <c r="G28" s="76">
        <v>4.7786355000000003E-2</v>
      </c>
      <c r="H28">
        <v>4.5966386999999997E-2</v>
      </c>
      <c r="I28">
        <v>4.4705271999999997E-2</v>
      </c>
      <c r="J28">
        <v>4.3838143000000003E-2</v>
      </c>
      <c r="K28">
        <v>4.3222547E-2</v>
      </c>
      <c r="L28">
        <v>3.7938698999999999E-2</v>
      </c>
      <c r="M28">
        <v>3.8707406999999999E-2</v>
      </c>
      <c r="N28">
        <v>3.7074742000000001E-2</v>
      </c>
      <c r="O28">
        <v>3.4083224000000002E-2</v>
      </c>
      <c r="P28">
        <v>3.2608103999999999E-2</v>
      </c>
      <c r="Q28">
        <v>3.1853002999999998E-2</v>
      </c>
      <c r="R28">
        <v>3.1264717999999997E-2</v>
      </c>
      <c r="S28">
        <v>6.1382424999999997E-2</v>
      </c>
      <c r="T28">
        <v>5.9571161999999997E-2</v>
      </c>
      <c r="U28">
        <v>5.8538503999999998E-2</v>
      </c>
      <c r="V28">
        <v>5.7730044000000001E-2</v>
      </c>
      <c r="W28">
        <v>5.6987066000000003E-2</v>
      </c>
      <c r="X28">
        <v>5.6194133E-2</v>
      </c>
      <c r="Y28">
        <v>5.5467502000000002E-2</v>
      </c>
      <c r="Z28">
        <v>4.5585479999999998E-2</v>
      </c>
      <c r="AA28">
        <v>4.4306352E-2</v>
      </c>
      <c r="AB28">
        <v>4.0495846000000002E-2</v>
      </c>
      <c r="AC28">
        <v>3.6374431999999998E-2</v>
      </c>
      <c r="AD28">
        <v>3.3662326999999999E-2</v>
      </c>
      <c r="AE28">
        <v>3.2801265000000003E-2</v>
      </c>
      <c r="AF28">
        <v>3.2406288999999998E-2</v>
      </c>
      <c r="AG28">
        <v>5.3572087999999997E-2</v>
      </c>
      <c r="AH28">
        <v>5.3816749999999997E-2</v>
      </c>
      <c r="AI28">
        <v>5.5127944999999998E-2</v>
      </c>
      <c r="AJ28">
        <v>5.5647261000000003E-2</v>
      </c>
      <c r="AK28">
        <v>5.5866207000000001E-2</v>
      </c>
      <c r="AL28">
        <v>5.4992909E-2</v>
      </c>
      <c r="AM28">
        <v>5.4152169999999999E-2</v>
      </c>
      <c r="AN28">
        <v>3.5717971000000001E-2</v>
      </c>
      <c r="AO28">
        <v>0.90830745899999998</v>
      </c>
      <c r="AP28">
        <v>-8.4260829999999991E-3</v>
      </c>
    </row>
    <row r="29" spans="1:42" x14ac:dyDescent="0.2">
      <c r="A29" t="s">
        <v>138</v>
      </c>
      <c r="B29" t="s">
        <v>112</v>
      </c>
      <c r="C29" t="s">
        <v>335</v>
      </c>
      <c r="D29" t="s">
        <v>153</v>
      </c>
      <c r="E29">
        <v>5.3441524999999997E-2</v>
      </c>
      <c r="F29">
        <v>5.3220152999999999E-2</v>
      </c>
      <c r="G29" s="76">
        <v>5.2674532000000003E-2</v>
      </c>
      <c r="H29">
        <v>5.1870583999999997E-2</v>
      </c>
      <c r="I29">
        <v>5.1298021999999999E-2</v>
      </c>
      <c r="J29">
        <v>5.0895214000000001E-2</v>
      </c>
      <c r="K29">
        <v>5.0604343000000003E-2</v>
      </c>
      <c r="L29">
        <v>1.5803919E-2</v>
      </c>
      <c r="M29">
        <v>1.8149864000000002E-2</v>
      </c>
      <c r="N29">
        <v>1.9241725000000001E-2</v>
      </c>
      <c r="O29">
        <v>1.9042752999999999E-2</v>
      </c>
      <c r="P29">
        <v>2.0144723999999999E-2</v>
      </c>
      <c r="Q29">
        <v>2.1233597E-2</v>
      </c>
      <c r="R29">
        <v>2.2003880999999999E-2</v>
      </c>
      <c r="S29">
        <v>9.2402219999999993E-2</v>
      </c>
      <c r="T29">
        <v>8.9187672999999995E-2</v>
      </c>
      <c r="U29">
        <v>8.7619531E-2</v>
      </c>
      <c r="V29">
        <v>8.5265509000000003E-2</v>
      </c>
      <c r="W29">
        <v>8.3877963999999999E-2</v>
      </c>
      <c r="X29">
        <v>8.2028398000000002E-2</v>
      </c>
      <c r="Y29">
        <v>8.0292757000000006E-2</v>
      </c>
      <c r="Z29">
        <v>2.4020896E-2</v>
      </c>
      <c r="AA29">
        <v>2.5286487999999999E-2</v>
      </c>
      <c r="AB29">
        <v>2.2592454000000001E-2</v>
      </c>
      <c r="AC29">
        <v>2.0024865999999999E-2</v>
      </c>
      <c r="AD29">
        <v>1.9278103000000001E-2</v>
      </c>
      <c r="AE29">
        <v>2.1241237999999999E-2</v>
      </c>
      <c r="AF29">
        <v>2.2576096E-2</v>
      </c>
      <c r="AG29">
        <v>8.3707339000000006E-2</v>
      </c>
      <c r="AH29">
        <v>8.1914823999999997E-2</v>
      </c>
      <c r="AI29">
        <v>8.3641627999999996E-2</v>
      </c>
      <c r="AJ29">
        <v>8.4710584000000005E-2</v>
      </c>
      <c r="AK29">
        <v>8.4323634999999994E-2</v>
      </c>
      <c r="AL29">
        <v>8.1410220000000005E-2</v>
      </c>
      <c r="AM29">
        <v>7.9400973999999999E-2</v>
      </c>
      <c r="AN29">
        <v>7.9882945999999996E-2</v>
      </c>
      <c r="AO29">
        <v>-0.144639458</v>
      </c>
      <c r="AP29">
        <v>0.59915287900000003</v>
      </c>
    </row>
    <row r="30" spans="1:42" x14ac:dyDescent="0.2">
      <c r="A30" t="s">
        <v>138</v>
      </c>
      <c r="B30" t="s">
        <v>112</v>
      </c>
      <c r="C30" t="s">
        <v>215</v>
      </c>
      <c r="D30" t="s">
        <v>143</v>
      </c>
      <c r="E30">
        <v>1.7657280000000001E-2</v>
      </c>
      <c r="F30">
        <v>1.9351006E-2</v>
      </c>
      <c r="G30" s="76">
        <v>2.3426056000000001E-2</v>
      </c>
      <c r="H30">
        <v>2.919507E-2</v>
      </c>
      <c r="I30">
        <v>3.3106207999999998E-2</v>
      </c>
      <c r="J30">
        <v>3.5741568000000001E-2</v>
      </c>
      <c r="K30">
        <v>3.7581920999999997E-2</v>
      </c>
      <c r="L30">
        <v>-1.2911898999999999E-2</v>
      </c>
      <c r="M30">
        <v>-7.9531440000000005E-3</v>
      </c>
      <c r="N30">
        <v>-1.8636150000000001E-3</v>
      </c>
      <c r="O30">
        <v>5.3332800000000001E-3</v>
      </c>
      <c r="P30">
        <v>1.0575115E-2</v>
      </c>
      <c r="Q30">
        <v>1.4098776E-2</v>
      </c>
      <c r="R30">
        <v>1.7075927000000001E-2</v>
      </c>
      <c r="S30">
        <v>4.9212374000000003E-2</v>
      </c>
      <c r="T30">
        <v>4.7613568000000002E-2</v>
      </c>
      <c r="U30">
        <v>4.9388434000000002E-2</v>
      </c>
      <c r="V30">
        <v>5.3642264000000002E-2</v>
      </c>
      <c r="W30">
        <v>5.6144608999999998E-2</v>
      </c>
      <c r="X30">
        <v>5.7623294999999998E-2</v>
      </c>
      <c r="Y30">
        <v>5.8630748000000003E-2</v>
      </c>
      <c r="Z30">
        <v>1.935902E-3</v>
      </c>
      <c r="AA30">
        <v>3.164802E-3</v>
      </c>
      <c r="AB30">
        <v>6.5083579999999997E-3</v>
      </c>
      <c r="AC30">
        <v>1.1369369000000001E-2</v>
      </c>
      <c r="AD30">
        <v>1.4553857999999999E-2</v>
      </c>
      <c r="AE30">
        <v>1.7217355E-2</v>
      </c>
      <c r="AF30">
        <v>2.0719721999999999E-2</v>
      </c>
      <c r="AG30">
        <v>3.3625413999999999E-2</v>
      </c>
      <c r="AH30">
        <v>3.5798205E-2</v>
      </c>
      <c r="AI30">
        <v>4.0627992000000002E-2</v>
      </c>
      <c r="AJ30">
        <v>4.7334978E-2</v>
      </c>
      <c r="AK30">
        <v>5.1997715999999999E-2</v>
      </c>
      <c r="AL30">
        <v>5.4603117999999999E-2</v>
      </c>
      <c r="AM30">
        <v>5.4722631000000001E-2</v>
      </c>
      <c r="AN30">
        <v>8.7700625000000004E-2</v>
      </c>
      <c r="AO30">
        <v>0.257591827</v>
      </c>
      <c r="AP30">
        <v>0.18280381800000001</v>
      </c>
    </row>
    <row r="31" spans="1:42" x14ac:dyDescent="0.2">
      <c r="A31" t="s">
        <v>138</v>
      </c>
      <c r="B31" t="s">
        <v>102</v>
      </c>
      <c r="C31" t="s">
        <v>141</v>
      </c>
      <c r="D31" t="s">
        <v>140</v>
      </c>
      <c r="E31">
        <v>0.107064147</v>
      </c>
      <c r="F31">
        <v>0.10465790699999999</v>
      </c>
      <c r="G31" s="76">
        <v>9.8875302999999998E-2</v>
      </c>
      <c r="H31">
        <v>9.0705056000000006E-2</v>
      </c>
      <c r="I31">
        <v>8.5163015999999994E-2</v>
      </c>
      <c r="J31">
        <v>8.1418413999999995E-2</v>
      </c>
      <c r="K31">
        <v>7.8795570999999995E-2</v>
      </c>
      <c r="L31">
        <v>7.2508701999999994E-2</v>
      </c>
      <c r="M31">
        <v>7.0462328000000005E-2</v>
      </c>
      <c r="N31">
        <v>6.0185620000000002E-2</v>
      </c>
      <c r="O31">
        <v>4.7342384000000001E-2</v>
      </c>
      <c r="P31">
        <v>4.1489593999999998E-2</v>
      </c>
      <c r="Q31">
        <v>3.8472645999999999E-2</v>
      </c>
      <c r="R31">
        <v>3.7109824999999999E-2</v>
      </c>
      <c r="S31">
        <v>0.14279464</v>
      </c>
      <c r="T31">
        <v>0.13986163400000001</v>
      </c>
      <c r="U31">
        <v>0.139393665</v>
      </c>
      <c r="V31">
        <v>0.13498654700000001</v>
      </c>
      <c r="W31">
        <v>0.13079401399999999</v>
      </c>
      <c r="X31">
        <v>0.125927967</v>
      </c>
      <c r="Y31">
        <v>0.121887641</v>
      </c>
      <c r="Z31">
        <v>8.2474295000000003E-2</v>
      </c>
      <c r="AA31">
        <v>7.7288342999999995E-2</v>
      </c>
      <c r="AB31">
        <v>6.3712335999999994E-2</v>
      </c>
      <c r="AC31">
        <v>5.2513492000000002E-2</v>
      </c>
      <c r="AD31">
        <v>4.4736142E-2</v>
      </c>
      <c r="AE31">
        <v>4.0925285999999998E-2</v>
      </c>
      <c r="AF31">
        <v>4.0368215999999998E-2</v>
      </c>
      <c r="AG31">
        <v>0.13222288900000001</v>
      </c>
      <c r="AH31">
        <v>0.13273600099999999</v>
      </c>
      <c r="AI31">
        <v>0.13522303799999999</v>
      </c>
      <c r="AJ31">
        <v>0.13030929599999999</v>
      </c>
      <c r="AK31">
        <v>0.127184782</v>
      </c>
      <c r="AL31">
        <v>0.123517608</v>
      </c>
      <c r="AM31">
        <v>0.11867003399999999</v>
      </c>
      <c r="AN31">
        <v>7.3943766999999994E-2</v>
      </c>
      <c r="AO31">
        <v>-4.3423867999999997E-2</v>
      </c>
      <c r="AP31">
        <v>0.55677657899999999</v>
      </c>
    </row>
    <row r="32" spans="1:42" x14ac:dyDescent="0.2">
      <c r="A32" t="s">
        <v>138</v>
      </c>
      <c r="B32" t="s">
        <v>102</v>
      </c>
      <c r="C32" t="s">
        <v>368</v>
      </c>
      <c r="D32" t="s">
        <v>142</v>
      </c>
      <c r="E32">
        <v>0.18698303599999999</v>
      </c>
      <c r="F32">
        <v>0.183193253</v>
      </c>
      <c r="G32" s="76">
        <v>0.174109982</v>
      </c>
      <c r="H32">
        <v>0.16133539499999999</v>
      </c>
      <c r="I32">
        <v>0.15271274900000001</v>
      </c>
      <c r="J32">
        <v>0.14690773400000001</v>
      </c>
      <c r="K32">
        <v>0.14285247200000001</v>
      </c>
      <c r="L32">
        <v>3.7640453999999997E-2</v>
      </c>
      <c r="M32">
        <v>4.1602346999999998E-2</v>
      </c>
      <c r="N32">
        <v>3.2791225E-2</v>
      </c>
      <c r="O32">
        <v>1.9097324999999998E-2</v>
      </c>
      <c r="P32">
        <v>1.4938023E-2</v>
      </c>
      <c r="Q32">
        <v>1.9324734999999999E-2</v>
      </c>
      <c r="R32">
        <v>2.0534566000000001E-2</v>
      </c>
      <c r="S32">
        <v>0.36037602299999999</v>
      </c>
      <c r="T32">
        <v>0.344569495</v>
      </c>
      <c r="U32">
        <v>0.33736712200000002</v>
      </c>
      <c r="V32">
        <v>0.32705958099999999</v>
      </c>
      <c r="W32">
        <v>0.30744692899999998</v>
      </c>
      <c r="X32">
        <v>0.29171878899999998</v>
      </c>
      <c r="Y32">
        <v>0.28073835800000002</v>
      </c>
      <c r="Z32">
        <v>7.2390233999999998E-2</v>
      </c>
      <c r="AA32">
        <v>7.1014881000000002E-2</v>
      </c>
      <c r="AB32">
        <v>5.1661406E-2</v>
      </c>
      <c r="AC32">
        <v>3.3372339000000001E-2</v>
      </c>
      <c r="AD32">
        <v>2.4919426000000001E-2</v>
      </c>
      <c r="AE32">
        <v>2.1446237E-2</v>
      </c>
      <c r="AF32">
        <v>2.315708E-2</v>
      </c>
      <c r="AG32">
        <v>0.31446506499999999</v>
      </c>
      <c r="AH32">
        <v>0.30774010000000002</v>
      </c>
      <c r="AI32">
        <v>0.31158128600000001</v>
      </c>
      <c r="AJ32">
        <v>0.30601107599999999</v>
      </c>
      <c r="AK32">
        <v>0.29731921500000003</v>
      </c>
      <c r="AL32">
        <v>0.28863268800000003</v>
      </c>
      <c r="AM32">
        <v>0.27732475400000001</v>
      </c>
      <c r="AN32">
        <v>0.319711574</v>
      </c>
      <c r="AO32">
        <v>-2.3258154999999999E-2</v>
      </c>
      <c r="AP32">
        <v>0.75360974300000005</v>
      </c>
    </row>
    <row r="33" spans="1:42" x14ac:dyDescent="0.2">
      <c r="A33" t="s">
        <v>138</v>
      </c>
      <c r="B33" t="s">
        <v>102</v>
      </c>
      <c r="C33" t="s">
        <v>106</v>
      </c>
      <c r="D33" t="s">
        <v>105</v>
      </c>
      <c r="E33">
        <v>0.13578190200000001</v>
      </c>
      <c r="F33">
        <v>0.134021896</v>
      </c>
      <c r="G33" s="76">
        <v>0.12978400600000001</v>
      </c>
      <c r="H33">
        <v>0.123776096</v>
      </c>
      <c r="I33">
        <v>0.119685787</v>
      </c>
      <c r="J33">
        <v>0.116914171</v>
      </c>
      <c r="K33">
        <v>0.114968795</v>
      </c>
      <c r="L33">
        <v>4.6192490000000003E-2</v>
      </c>
      <c r="M33">
        <v>4.7926126999999999E-2</v>
      </c>
      <c r="N33">
        <v>4.2624508999999998E-2</v>
      </c>
      <c r="O33">
        <v>3.3831242999999997E-2</v>
      </c>
      <c r="P33">
        <v>3.2626346000000001E-2</v>
      </c>
      <c r="Q33">
        <v>3.3280507000000001E-2</v>
      </c>
      <c r="R33">
        <v>3.5333537999999998E-2</v>
      </c>
      <c r="S33">
        <v>0.23376876899999999</v>
      </c>
      <c r="T33">
        <v>0.22818513300000001</v>
      </c>
      <c r="U33">
        <v>0.22540263199999999</v>
      </c>
      <c r="V33">
        <v>0.222957606</v>
      </c>
      <c r="W33">
        <v>0.21361114</v>
      </c>
      <c r="X33">
        <v>0.20761827299999999</v>
      </c>
      <c r="Y33">
        <v>0.20038777299999999</v>
      </c>
      <c r="Z33">
        <v>7.1464612999999996E-2</v>
      </c>
      <c r="AA33">
        <v>6.3792720999999997E-2</v>
      </c>
      <c r="AB33">
        <v>5.1877872999999998E-2</v>
      </c>
      <c r="AC33">
        <v>3.8503583000000001E-2</v>
      </c>
      <c r="AD33">
        <v>4.0943634999999999E-2</v>
      </c>
      <c r="AE33">
        <v>4.0688054000000001E-2</v>
      </c>
      <c r="AF33">
        <v>4.0028564000000003E-2</v>
      </c>
      <c r="AG33">
        <v>0.20407699600000001</v>
      </c>
      <c r="AH33">
        <v>0.20902906299999999</v>
      </c>
      <c r="AI33">
        <v>0.21363829200000001</v>
      </c>
      <c r="AJ33">
        <v>0.21626938100000001</v>
      </c>
      <c r="AK33">
        <v>0.20457024200000001</v>
      </c>
      <c r="AL33">
        <v>0.19889780700000001</v>
      </c>
      <c r="AM33">
        <v>0.195477348</v>
      </c>
      <c r="AN33">
        <v>0.19757930700000001</v>
      </c>
      <c r="AO33">
        <v>-1.2322048E-2</v>
      </c>
      <c r="AP33">
        <v>0.74533424000000004</v>
      </c>
    </row>
    <row r="34" spans="1:42" x14ac:dyDescent="0.2">
      <c r="A34" t="s">
        <v>138</v>
      </c>
      <c r="B34" t="s">
        <v>102</v>
      </c>
      <c r="C34" t="s">
        <v>395</v>
      </c>
      <c r="D34" t="s">
        <v>100</v>
      </c>
      <c r="E34">
        <v>7.2578226999999995E-2</v>
      </c>
      <c r="F34">
        <v>7.2351848999999996E-2</v>
      </c>
      <c r="G34" s="76">
        <v>7.1793830000000003E-2</v>
      </c>
      <c r="H34">
        <v>7.097212E-2</v>
      </c>
      <c r="I34">
        <v>7.0387279999999997E-2</v>
      </c>
      <c r="J34">
        <v>6.9976007000000007E-2</v>
      </c>
      <c r="K34">
        <v>6.9679296000000002E-2</v>
      </c>
      <c r="L34">
        <v>3.9709810999999998E-2</v>
      </c>
      <c r="M34">
        <v>4.3170089000000002E-2</v>
      </c>
      <c r="N34">
        <v>4.4634608999999999E-2</v>
      </c>
      <c r="O34">
        <v>4.4388415000000001E-2</v>
      </c>
      <c r="P34">
        <v>4.4963288999999997E-2</v>
      </c>
      <c r="Q34">
        <v>4.5140667000000002E-2</v>
      </c>
      <c r="R34">
        <v>4.6484875000000002E-2</v>
      </c>
      <c r="S34">
        <v>0.10621536500000001</v>
      </c>
      <c r="T34">
        <v>0.101859196</v>
      </c>
      <c r="U34">
        <v>9.9827725000000006E-2</v>
      </c>
      <c r="V34">
        <v>9.8425638999999995E-2</v>
      </c>
      <c r="W34">
        <v>9.6623212999999999E-2</v>
      </c>
      <c r="X34">
        <v>9.5191771999999994E-2</v>
      </c>
      <c r="Y34">
        <v>9.3158949000000005E-2</v>
      </c>
      <c r="Z34">
        <v>5.6290532999999997E-2</v>
      </c>
      <c r="AA34">
        <v>5.4858378999999999E-2</v>
      </c>
      <c r="AB34">
        <v>5.2160206000000001E-2</v>
      </c>
      <c r="AC34">
        <v>4.9145244999999997E-2</v>
      </c>
      <c r="AD34">
        <v>4.8564167999999998E-2</v>
      </c>
      <c r="AE34">
        <v>4.8297991999999998E-2</v>
      </c>
      <c r="AF34">
        <v>4.8274258E-2</v>
      </c>
      <c r="AG34">
        <v>8.9120158000000005E-2</v>
      </c>
      <c r="AH34">
        <v>9.0138761999999997E-2</v>
      </c>
      <c r="AI34">
        <v>9.1798120999999996E-2</v>
      </c>
      <c r="AJ34">
        <v>9.3258325000000003E-2</v>
      </c>
      <c r="AK34">
        <v>9.2669646999999994E-2</v>
      </c>
      <c r="AL34">
        <v>9.2107628999999996E-2</v>
      </c>
      <c r="AM34">
        <v>9.1526615000000006E-2</v>
      </c>
      <c r="AN34">
        <v>9.0647845000000005E-2</v>
      </c>
      <c r="AO34">
        <v>0.20512960799999999</v>
      </c>
      <c r="AP34">
        <v>0.71449569400000001</v>
      </c>
    </row>
    <row r="35" spans="1:42" x14ac:dyDescent="0.2">
      <c r="A35" t="s">
        <v>138</v>
      </c>
      <c r="B35" t="s">
        <v>102</v>
      </c>
      <c r="C35" t="s">
        <v>331</v>
      </c>
      <c r="D35" t="s">
        <v>139</v>
      </c>
      <c r="E35">
        <v>7.2594749E-2</v>
      </c>
      <c r="F35">
        <v>7.2025285999999994E-2</v>
      </c>
      <c r="G35" s="76">
        <v>7.0642697000000004E-2</v>
      </c>
      <c r="H35">
        <v>6.8655596999999999E-2</v>
      </c>
      <c r="I35">
        <v>6.7280755999999997E-2</v>
      </c>
      <c r="J35">
        <v>6.6336738000000006E-2</v>
      </c>
      <c r="K35">
        <v>6.5667377999999998E-2</v>
      </c>
      <c r="L35">
        <v>2.5725555000000001E-2</v>
      </c>
      <c r="M35">
        <v>2.8137646999999998E-2</v>
      </c>
      <c r="N35">
        <v>2.6607012999999999E-2</v>
      </c>
      <c r="O35">
        <v>2.4004958E-2</v>
      </c>
      <c r="P35">
        <v>2.3570292999999999E-2</v>
      </c>
      <c r="Q35">
        <v>2.4133252000000001E-2</v>
      </c>
      <c r="R35">
        <v>2.5511997000000002E-2</v>
      </c>
      <c r="S35">
        <v>0.12032200899999999</v>
      </c>
      <c r="T35">
        <v>0.117461277</v>
      </c>
      <c r="U35">
        <v>0.116152563</v>
      </c>
      <c r="V35">
        <v>0.11560588099999999</v>
      </c>
      <c r="W35">
        <v>0.112713646</v>
      </c>
      <c r="X35">
        <v>0.109115902</v>
      </c>
      <c r="Y35">
        <v>0.106665836</v>
      </c>
      <c r="Z35">
        <v>4.0165760000000002E-2</v>
      </c>
      <c r="AA35">
        <v>3.8743639000000003E-2</v>
      </c>
      <c r="AB35">
        <v>3.384765E-2</v>
      </c>
      <c r="AC35">
        <v>2.8158059999999999E-2</v>
      </c>
      <c r="AD35">
        <v>2.9038914999999998E-2</v>
      </c>
      <c r="AE35">
        <v>2.7394964000000001E-2</v>
      </c>
      <c r="AF35">
        <v>2.8490727E-2</v>
      </c>
      <c r="AG35">
        <v>0.10604332399999999</v>
      </c>
      <c r="AH35">
        <v>0.106382253</v>
      </c>
      <c r="AI35">
        <v>0.10875847399999999</v>
      </c>
      <c r="AJ35">
        <v>0.11076182800000001</v>
      </c>
      <c r="AK35">
        <v>0.106955841</v>
      </c>
      <c r="AL35">
        <v>0.106767089</v>
      </c>
      <c r="AM35">
        <v>0.10419916899999999</v>
      </c>
      <c r="AN35">
        <v>0.10817866199999999</v>
      </c>
      <c r="AO35">
        <v>0.25071971999999998</v>
      </c>
      <c r="AP35">
        <v>0.625149336</v>
      </c>
    </row>
    <row r="36" spans="1:42" x14ac:dyDescent="0.2">
      <c r="A36" t="s">
        <v>138</v>
      </c>
      <c r="B36" t="s">
        <v>102</v>
      </c>
      <c r="C36" t="s">
        <v>104</v>
      </c>
      <c r="D36" t="s">
        <v>100</v>
      </c>
      <c r="E36">
        <v>0.104041386</v>
      </c>
      <c r="F36">
        <v>0.103202987</v>
      </c>
      <c r="G36" s="76">
        <v>0.101174522</v>
      </c>
      <c r="H36">
        <v>9.8275828999999995E-2</v>
      </c>
      <c r="I36">
        <v>9.6283722000000002E-2</v>
      </c>
      <c r="J36">
        <v>9.4923782999999998E-2</v>
      </c>
      <c r="K36">
        <v>9.3963552000000006E-2</v>
      </c>
      <c r="L36">
        <v>5.4821834999999999E-2</v>
      </c>
      <c r="M36">
        <v>5.8494888000000002E-2</v>
      </c>
      <c r="N36">
        <v>5.8507987999999997E-2</v>
      </c>
      <c r="O36">
        <v>5.7555082E-2</v>
      </c>
      <c r="P36">
        <v>5.7125293000000001E-2</v>
      </c>
      <c r="Q36">
        <v>5.7927602000000002E-2</v>
      </c>
      <c r="R36">
        <v>5.8739201999999997E-2</v>
      </c>
      <c r="S36">
        <v>0.15570552500000001</v>
      </c>
      <c r="T36">
        <v>0.15009405200000001</v>
      </c>
      <c r="U36">
        <v>0.14468204800000001</v>
      </c>
      <c r="V36">
        <v>0.14080679199999999</v>
      </c>
      <c r="W36">
        <v>0.136807815</v>
      </c>
      <c r="X36">
        <v>0.132718797</v>
      </c>
      <c r="Y36">
        <v>0.13020710699999999</v>
      </c>
      <c r="Z36">
        <v>7.3685160999999999E-2</v>
      </c>
      <c r="AA36">
        <v>7.2213629000000001E-2</v>
      </c>
      <c r="AB36">
        <v>6.8387650999999994E-2</v>
      </c>
      <c r="AC36">
        <v>6.2478035000000001E-2</v>
      </c>
      <c r="AD36">
        <v>6.0232009000000003E-2</v>
      </c>
      <c r="AE36">
        <v>5.9190749000000001E-2</v>
      </c>
      <c r="AF36">
        <v>6.1826028999999998E-2</v>
      </c>
      <c r="AG36">
        <v>0.13528116300000001</v>
      </c>
      <c r="AH36">
        <v>0.13511439</v>
      </c>
      <c r="AI36">
        <v>0.134997327</v>
      </c>
      <c r="AJ36">
        <v>0.135315356</v>
      </c>
      <c r="AK36">
        <v>0.13359790899999999</v>
      </c>
      <c r="AL36">
        <v>0.13189816800000001</v>
      </c>
      <c r="AM36">
        <v>0.127102729</v>
      </c>
      <c r="AN36">
        <v>0.119924086</v>
      </c>
      <c r="AO36">
        <v>-9.8198290999999993E-2</v>
      </c>
      <c r="AP36">
        <v>0.75234723599999997</v>
      </c>
    </row>
    <row r="37" spans="1:42" x14ac:dyDescent="0.2">
      <c r="A37" t="s">
        <v>138</v>
      </c>
      <c r="B37" t="s">
        <v>102</v>
      </c>
      <c r="C37" t="s">
        <v>101</v>
      </c>
      <c r="D37" t="s">
        <v>100</v>
      </c>
      <c r="E37">
        <v>3.5202363E-2</v>
      </c>
      <c r="F37">
        <v>3.6499122000000002E-2</v>
      </c>
      <c r="G37" s="76">
        <v>3.961406E-2</v>
      </c>
      <c r="H37">
        <v>4.4010976E-2</v>
      </c>
      <c r="I37">
        <v>4.6981791000000002E-2</v>
      </c>
      <c r="J37">
        <v>4.8978068999999999E-2</v>
      </c>
      <c r="K37">
        <v>5.0369003000000002E-2</v>
      </c>
      <c r="L37">
        <v>1.2616756E-2</v>
      </c>
      <c r="M37">
        <v>1.6570896000000002E-2</v>
      </c>
      <c r="N37">
        <v>2.0482269000000001E-2</v>
      </c>
      <c r="O37">
        <v>2.5614710999999998E-2</v>
      </c>
      <c r="P37">
        <v>2.8949263999999999E-2</v>
      </c>
      <c r="Q37">
        <v>3.1579916999999999E-2</v>
      </c>
      <c r="R37">
        <v>3.3499287000000003E-2</v>
      </c>
      <c r="S37">
        <v>5.8486332000000002E-2</v>
      </c>
      <c r="T37">
        <v>5.7037017000000002E-2</v>
      </c>
      <c r="U37">
        <v>5.9043062E-2</v>
      </c>
      <c r="V37">
        <v>6.2736643999999994E-2</v>
      </c>
      <c r="W37">
        <v>6.5286439000000002E-2</v>
      </c>
      <c r="X37">
        <v>6.6614689000000005E-2</v>
      </c>
      <c r="Y37">
        <v>6.7424133999999997E-2</v>
      </c>
      <c r="Z37">
        <v>2.5624899999999999E-2</v>
      </c>
      <c r="AA37">
        <v>2.6871768000000001E-2</v>
      </c>
      <c r="AB37">
        <v>2.8332751E-2</v>
      </c>
      <c r="AC37">
        <v>2.9989815E-2</v>
      </c>
      <c r="AD37">
        <v>3.2693716999999997E-2</v>
      </c>
      <c r="AE37">
        <v>3.4759489999999997E-2</v>
      </c>
      <c r="AF37">
        <v>3.5740767E-2</v>
      </c>
      <c r="AG37">
        <v>4.4869621999999998E-2</v>
      </c>
      <c r="AH37">
        <v>4.6217115000000003E-2</v>
      </c>
      <c r="AI37">
        <v>5.1019575999999997E-2</v>
      </c>
      <c r="AJ37">
        <v>5.8223588E-2</v>
      </c>
      <c r="AK37">
        <v>6.1468034999999997E-2</v>
      </c>
      <c r="AL37">
        <v>6.3392452000000002E-2</v>
      </c>
      <c r="AM37">
        <v>6.5204513000000006E-2</v>
      </c>
      <c r="AN37">
        <v>6.8050389000000003E-2</v>
      </c>
      <c r="AO37">
        <v>0.53457252099999997</v>
      </c>
      <c r="AP37">
        <v>0.35526197500000001</v>
      </c>
    </row>
  </sheetData>
  <mergeCells count="7">
    <mergeCell ref="AO2:AP2"/>
    <mergeCell ref="A1:D1"/>
    <mergeCell ref="E2:K2"/>
    <mergeCell ref="L2:R2"/>
    <mergeCell ref="S2:Y2"/>
    <mergeCell ref="Z2:AF2"/>
    <mergeCell ref="AG2:AM2"/>
  </mergeCells>
  <hyperlinks>
    <hyperlink ref="C2"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4"/>
  </sheetPr>
  <dimension ref="A1:AP37"/>
  <sheetViews>
    <sheetView tabSelected="1" zoomScaleNormal="100" workbookViewId="0">
      <pane ySplit="3" topLeftCell="A4" activePane="bottomLeft" state="frozen"/>
      <selection pane="bottomLeft" activeCell="E14" sqref="E14:I14"/>
    </sheetView>
  </sheetViews>
  <sheetFormatPr defaultRowHeight="12.75" x14ac:dyDescent="0.2"/>
  <cols>
    <col min="1" max="1" width="14.85546875" customWidth="1"/>
    <col min="2" max="2" width="25" customWidth="1"/>
    <col min="3" max="3" width="46.85546875" bestFit="1" customWidth="1"/>
    <col min="4" max="4" width="61" bestFit="1" customWidth="1"/>
    <col min="9" max="9" width="9.140625" customWidth="1"/>
    <col min="40" max="40" width="10.28515625" customWidth="1"/>
    <col min="41" max="41" width="17.5703125" customWidth="1"/>
    <col min="42" max="42" width="10.85546875" customWidth="1"/>
  </cols>
  <sheetData>
    <row r="1" spans="1:42" s="49" customFormat="1" ht="33.75" customHeight="1" x14ac:dyDescent="0.2">
      <c r="A1" s="85" t="s">
        <v>319</v>
      </c>
      <c r="B1" s="85"/>
      <c r="C1" s="85"/>
      <c r="D1" s="85"/>
    </row>
    <row r="2" spans="1:42" s="47" customFormat="1" ht="19.5" customHeight="1" x14ac:dyDescent="0.2">
      <c r="A2" s="48" t="s">
        <v>397</v>
      </c>
      <c r="C2" s="3" t="s">
        <v>2</v>
      </c>
      <c r="E2" s="91" t="s">
        <v>318</v>
      </c>
      <c r="F2" s="91"/>
      <c r="G2" s="91"/>
      <c r="H2" s="91"/>
      <c r="I2" s="91"/>
      <c r="J2" s="91"/>
      <c r="K2" s="90"/>
      <c r="L2" s="86" t="s">
        <v>317</v>
      </c>
      <c r="M2" s="87"/>
      <c r="N2" s="87"/>
      <c r="O2" s="87"/>
      <c r="P2" s="87"/>
      <c r="Q2" s="87"/>
      <c r="R2" s="88"/>
      <c r="S2" s="86" t="s">
        <v>316</v>
      </c>
      <c r="T2" s="87"/>
      <c r="U2" s="87"/>
      <c r="V2" s="87"/>
      <c r="W2" s="87"/>
      <c r="X2" s="87"/>
      <c r="Y2" s="88"/>
      <c r="Z2" s="86" t="s">
        <v>315</v>
      </c>
      <c r="AA2" s="87"/>
      <c r="AB2" s="87"/>
      <c r="AC2" s="87"/>
      <c r="AD2" s="87"/>
      <c r="AE2" s="87"/>
      <c r="AF2" s="88"/>
      <c r="AG2" s="86" t="s">
        <v>314</v>
      </c>
      <c r="AH2" s="87"/>
      <c r="AI2" s="87"/>
      <c r="AJ2" s="87"/>
      <c r="AK2" s="87"/>
      <c r="AL2" s="87"/>
      <c r="AM2" s="88"/>
      <c r="AN2" s="54" t="s">
        <v>313</v>
      </c>
      <c r="AO2" s="89" t="s">
        <v>312</v>
      </c>
      <c r="AP2" s="90"/>
    </row>
    <row r="3" spans="1:42" s="40" customFormat="1" ht="19.5" customHeight="1" thickBot="1" x14ac:dyDescent="0.25">
      <c r="A3" s="46" t="s">
        <v>311</v>
      </c>
      <c r="B3" s="46" t="s">
        <v>310</v>
      </c>
      <c r="C3" s="46" t="s">
        <v>309</v>
      </c>
      <c r="D3" s="45" t="s">
        <v>308</v>
      </c>
      <c r="E3" s="44" t="s">
        <v>307</v>
      </c>
      <c r="F3" s="44" t="s">
        <v>306</v>
      </c>
      <c r="G3" s="44" t="s">
        <v>305</v>
      </c>
      <c r="H3" s="44" t="s">
        <v>304</v>
      </c>
      <c r="I3" s="44" t="s">
        <v>303</v>
      </c>
      <c r="J3" s="44" t="s">
        <v>302</v>
      </c>
      <c r="K3" s="41" t="s">
        <v>301</v>
      </c>
      <c r="L3" s="44" t="s">
        <v>307</v>
      </c>
      <c r="M3" s="44" t="s">
        <v>306</v>
      </c>
      <c r="N3" s="44" t="s">
        <v>305</v>
      </c>
      <c r="O3" s="44" t="s">
        <v>304</v>
      </c>
      <c r="P3" s="44" t="s">
        <v>303</v>
      </c>
      <c r="Q3" s="44" t="s">
        <v>302</v>
      </c>
      <c r="R3" s="44" t="s">
        <v>301</v>
      </c>
      <c r="S3" s="42" t="s">
        <v>307</v>
      </c>
      <c r="T3" s="44" t="s">
        <v>306</v>
      </c>
      <c r="U3" s="44" t="s">
        <v>305</v>
      </c>
      <c r="V3" s="44" t="s">
        <v>304</v>
      </c>
      <c r="W3" s="44" t="s">
        <v>303</v>
      </c>
      <c r="X3" s="44" t="s">
        <v>302</v>
      </c>
      <c r="Y3" s="44" t="s">
        <v>301</v>
      </c>
      <c r="Z3" s="42" t="s">
        <v>307</v>
      </c>
      <c r="AA3" s="44" t="s">
        <v>306</v>
      </c>
      <c r="AB3" s="44" t="s">
        <v>305</v>
      </c>
      <c r="AC3" s="44" t="s">
        <v>304</v>
      </c>
      <c r="AD3" s="44" t="s">
        <v>303</v>
      </c>
      <c r="AE3" s="44" t="s">
        <v>302</v>
      </c>
      <c r="AF3" s="44" t="s">
        <v>301</v>
      </c>
      <c r="AG3" s="42" t="s">
        <v>307</v>
      </c>
      <c r="AH3" s="44" t="s">
        <v>306</v>
      </c>
      <c r="AI3" s="44" t="s">
        <v>305</v>
      </c>
      <c r="AJ3" s="44" t="s">
        <v>304</v>
      </c>
      <c r="AK3" s="44" t="s">
        <v>303</v>
      </c>
      <c r="AL3" s="44" t="s">
        <v>302</v>
      </c>
      <c r="AM3" s="44" t="s">
        <v>301</v>
      </c>
      <c r="AN3" s="43"/>
      <c r="AO3" s="42" t="s">
        <v>300</v>
      </c>
      <c r="AP3" s="41" t="s">
        <v>129</v>
      </c>
    </row>
    <row r="4" spans="1:42" x14ac:dyDescent="0.2">
      <c r="A4" t="s">
        <v>138</v>
      </c>
      <c r="B4" t="s">
        <v>129</v>
      </c>
      <c r="C4" t="s">
        <v>137</v>
      </c>
      <c r="D4" t="s">
        <v>136</v>
      </c>
      <c r="E4">
        <v>7.4053525999999995E-2</v>
      </c>
      <c r="F4">
        <v>7.4201464999999994E-2</v>
      </c>
      <c r="G4">
        <v>7.4495196E-2</v>
      </c>
      <c r="H4">
        <v>7.4759363999999995E-2</v>
      </c>
      <c r="I4">
        <v>7.4810028000000001E-2</v>
      </c>
      <c r="J4">
        <v>7.4767470000000003E-2</v>
      </c>
      <c r="K4">
        <v>7.4694991000000002E-2</v>
      </c>
      <c r="L4">
        <v>9.9809660000000008E-3</v>
      </c>
      <c r="M4">
        <v>1.7124502999999999E-2</v>
      </c>
      <c r="N4">
        <v>1.9090453E-2</v>
      </c>
      <c r="O4">
        <v>1.9321888999999998E-2</v>
      </c>
      <c r="P4">
        <v>2.0657696E-2</v>
      </c>
      <c r="Q4">
        <v>2.2579426999999999E-2</v>
      </c>
      <c r="R4">
        <v>2.5247304000000002E-2</v>
      </c>
      <c r="S4">
        <v>0.14215341500000001</v>
      </c>
      <c r="T4">
        <v>0.134799109</v>
      </c>
      <c r="U4">
        <v>0.13419240299999999</v>
      </c>
      <c r="V4">
        <v>0.132838919</v>
      </c>
      <c r="W4">
        <v>0.13185702799999999</v>
      </c>
      <c r="X4">
        <v>0.12980403800000001</v>
      </c>
      <c r="Y4">
        <v>0.127330216</v>
      </c>
      <c r="Z4">
        <v>4.9142951999999997E-2</v>
      </c>
      <c r="AA4">
        <v>4.5902074000000001E-2</v>
      </c>
      <c r="AB4">
        <v>3.7836443999999997E-2</v>
      </c>
      <c r="AC4">
        <v>3.0858356999999999E-2</v>
      </c>
      <c r="AD4">
        <v>3.0414336E-2</v>
      </c>
      <c r="AE4">
        <v>3.2100403999999999E-2</v>
      </c>
      <c r="AF4">
        <v>3.2594372000000003E-2</v>
      </c>
      <c r="AG4">
        <v>9.9555405E-2</v>
      </c>
      <c r="AH4">
        <v>0.10326637299999999</v>
      </c>
      <c r="AI4">
        <v>0.112448718</v>
      </c>
      <c r="AJ4">
        <v>0.12053016900000001</v>
      </c>
      <c r="AK4">
        <v>0.121118431</v>
      </c>
      <c r="AL4">
        <v>0.119198525</v>
      </c>
      <c r="AM4">
        <v>0.118512244</v>
      </c>
      <c r="AN4">
        <v>0.191981649</v>
      </c>
      <c r="AO4">
        <v>1.32581E-4</v>
      </c>
      <c r="AP4">
        <v>0.90228558800000003</v>
      </c>
    </row>
    <row r="5" spans="1:42" x14ac:dyDescent="0.2">
      <c r="A5" t="s">
        <v>138</v>
      </c>
      <c r="B5" t="s">
        <v>129</v>
      </c>
      <c r="C5" t="s">
        <v>382</v>
      </c>
      <c r="D5" t="s">
        <v>383</v>
      </c>
      <c r="E5">
        <v>-9.6271039999999992E-3</v>
      </c>
      <c r="F5">
        <v>-4.3982860000000004E-3</v>
      </c>
      <c r="G5">
        <v>8.2416529999999998E-3</v>
      </c>
      <c r="H5">
        <v>2.6275634999999999E-2</v>
      </c>
      <c r="I5">
        <v>3.8585067000000001E-2</v>
      </c>
      <c r="J5">
        <v>4.6911478E-2</v>
      </c>
      <c r="K5">
        <v>5.2738786000000003E-2</v>
      </c>
      <c r="L5">
        <v>-6.7657178999999998E-2</v>
      </c>
      <c r="M5">
        <v>-5.5604134999999999E-2</v>
      </c>
      <c r="N5">
        <v>-3.8083289999999999E-2</v>
      </c>
      <c r="O5">
        <v>-1.5709725000000001E-2</v>
      </c>
      <c r="P5">
        <v>-9.9219E-4</v>
      </c>
      <c r="Q5">
        <v>1.0682315E-2</v>
      </c>
      <c r="R5">
        <v>1.7946824E-2</v>
      </c>
      <c r="S5">
        <v>5.1636675E-2</v>
      </c>
      <c r="T5">
        <v>4.8349501000000003E-2</v>
      </c>
      <c r="U5">
        <v>5.6786086E-2</v>
      </c>
      <c r="V5">
        <v>6.9909084999999996E-2</v>
      </c>
      <c r="W5">
        <v>7.9565167000000006E-2</v>
      </c>
      <c r="X5">
        <v>8.4522865000000003E-2</v>
      </c>
      <c r="Y5">
        <v>8.8788619999999999E-2</v>
      </c>
      <c r="Z5">
        <v>-3.1258157000000002E-2</v>
      </c>
      <c r="AA5">
        <v>-2.6380111000000001E-2</v>
      </c>
      <c r="AB5">
        <v>-1.6181524999999999E-2</v>
      </c>
      <c r="AC5">
        <v>-5.5144299999999999E-4</v>
      </c>
      <c r="AD5">
        <v>1.0882598E-2</v>
      </c>
      <c r="AE5">
        <v>1.9002207E-2</v>
      </c>
      <c r="AF5">
        <v>2.6341488E-2</v>
      </c>
      <c r="AG5">
        <v>1.2486924E-2</v>
      </c>
      <c r="AH5">
        <v>1.8080010000000001E-2</v>
      </c>
      <c r="AI5">
        <v>3.3271207999999997E-2</v>
      </c>
      <c r="AJ5">
        <v>5.3822760999999997E-2</v>
      </c>
      <c r="AK5">
        <v>6.7046735999999996E-2</v>
      </c>
      <c r="AL5">
        <v>7.5585069000000005E-2</v>
      </c>
      <c r="AM5">
        <v>7.9815072000000001E-2</v>
      </c>
      <c r="AN5">
        <v>0.186627294</v>
      </c>
      <c r="AO5">
        <v>-5.1734540000000001E-3</v>
      </c>
      <c r="AP5">
        <v>0.87540646300000002</v>
      </c>
    </row>
    <row r="6" spans="1:42" x14ac:dyDescent="0.2">
      <c r="A6" t="s">
        <v>138</v>
      </c>
      <c r="B6" t="s">
        <v>129</v>
      </c>
      <c r="C6" t="s">
        <v>135</v>
      </c>
      <c r="D6" t="s">
        <v>134</v>
      </c>
      <c r="E6">
        <v>3.4922480999999998E-2</v>
      </c>
      <c r="F6">
        <v>3.8882732000000003E-2</v>
      </c>
      <c r="G6">
        <v>4.8415660999999999E-2</v>
      </c>
      <c r="H6">
        <v>6.1918616000000003E-2</v>
      </c>
      <c r="I6">
        <v>7.1061730000000004E-2</v>
      </c>
      <c r="J6">
        <v>7.7207445999999999E-2</v>
      </c>
      <c r="K6">
        <v>8.1488251999999997E-2</v>
      </c>
      <c r="L6">
        <v>-2.8426241000000001E-2</v>
      </c>
      <c r="M6">
        <v>-1.708202E-2</v>
      </c>
      <c r="N6">
        <v>-1.942715E-3</v>
      </c>
      <c r="O6">
        <v>1.6339243E-2</v>
      </c>
      <c r="P6">
        <v>2.8311200000000002E-2</v>
      </c>
      <c r="Q6">
        <v>3.6980035000000001E-2</v>
      </c>
      <c r="R6">
        <v>4.3712763000000002E-2</v>
      </c>
      <c r="S6">
        <v>0.10301028600000001</v>
      </c>
      <c r="T6">
        <v>9.7215380000000004E-2</v>
      </c>
      <c r="U6">
        <v>0.101334831</v>
      </c>
      <c r="V6">
        <v>0.11007315500000001</v>
      </c>
      <c r="W6">
        <v>0.11529198</v>
      </c>
      <c r="X6">
        <v>0.11892140700000001</v>
      </c>
      <c r="Y6">
        <v>0.120343344</v>
      </c>
      <c r="Z6">
        <v>1.3535459E-2</v>
      </c>
      <c r="AA6">
        <v>1.7245336999999999E-2</v>
      </c>
      <c r="AB6">
        <v>2.4101028E-2</v>
      </c>
      <c r="AC6">
        <v>3.5251907999999998E-2</v>
      </c>
      <c r="AD6">
        <v>4.3420063000000002E-2</v>
      </c>
      <c r="AE6">
        <v>4.9862601999999999E-2</v>
      </c>
      <c r="AF6">
        <v>5.5402985000000002E-2</v>
      </c>
      <c r="AG6">
        <v>5.6760736999999999E-2</v>
      </c>
      <c r="AH6">
        <v>6.0980382999999999E-2</v>
      </c>
      <c r="AI6">
        <v>7.3307769999999994E-2</v>
      </c>
      <c r="AJ6">
        <v>8.9272295000000002E-2</v>
      </c>
      <c r="AK6">
        <v>9.9435599999999999E-2</v>
      </c>
      <c r="AL6">
        <v>0.105264409</v>
      </c>
      <c r="AM6">
        <v>0.10821802799999999</v>
      </c>
      <c r="AN6">
        <v>0.20572275000000001</v>
      </c>
      <c r="AO6">
        <v>-1.6330292999999999E-2</v>
      </c>
      <c r="AP6">
        <v>0.778034805</v>
      </c>
    </row>
    <row r="7" spans="1:42" x14ac:dyDescent="0.2">
      <c r="A7" t="s">
        <v>138</v>
      </c>
      <c r="B7" t="s">
        <v>129</v>
      </c>
      <c r="C7" t="s">
        <v>359</v>
      </c>
      <c r="D7" t="s">
        <v>162</v>
      </c>
      <c r="E7">
        <v>8.0069064999999995E-2</v>
      </c>
      <c r="F7">
        <v>7.9630136000000004E-2</v>
      </c>
      <c r="G7">
        <v>7.8511596000000003E-2</v>
      </c>
      <c r="H7">
        <v>7.6776980999999994E-2</v>
      </c>
      <c r="I7">
        <v>7.5471282000000001E-2</v>
      </c>
      <c r="J7">
        <v>7.4513197000000003E-2</v>
      </c>
      <c r="K7">
        <v>7.3800325E-2</v>
      </c>
      <c r="L7">
        <v>2.2788022000000002E-2</v>
      </c>
      <c r="M7">
        <v>2.8759537000000002E-2</v>
      </c>
      <c r="N7">
        <v>3.1141505E-2</v>
      </c>
      <c r="O7">
        <v>3.0538662000000001E-2</v>
      </c>
      <c r="P7">
        <v>3.0556013999999999E-2</v>
      </c>
      <c r="Q7">
        <v>3.1410439999999998E-2</v>
      </c>
      <c r="R7">
        <v>3.3254056999999997E-2</v>
      </c>
      <c r="S7">
        <v>0.14060950899999999</v>
      </c>
      <c r="T7">
        <v>0.132359476</v>
      </c>
      <c r="U7">
        <v>0.12846181200000001</v>
      </c>
      <c r="V7">
        <v>0.124778128</v>
      </c>
      <c r="W7">
        <v>0.12210325800000001</v>
      </c>
      <c r="X7">
        <v>0.119813878</v>
      </c>
      <c r="Y7">
        <v>0.115501989</v>
      </c>
      <c r="Z7">
        <v>5.9585185999999998E-2</v>
      </c>
      <c r="AA7">
        <v>5.6721400999999998E-2</v>
      </c>
      <c r="AB7">
        <v>4.8768859999999997E-2</v>
      </c>
      <c r="AC7">
        <v>4.0209697000000003E-2</v>
      </c>
      <c r="AD7">
        <v>3.8226734999999998E-2</v>
      </c>
      <c r="AE7">
        <v>3.8111721000000001E-2</v>
      </c>
      <c r="AF7">
        <v>3.8969767000000002E-2</v>
      </c>
      <c r="AG7">
        <v>0.100949053</v>
      </c>
      <c r="AH7">
        <v>0.10303543</v>
      </c>
      <c r="AI7">
        <v>0.109097869</v>
      </c>
      <c r="AJ7">
        <v>0.11462993</v>
      </c>
      <c r="AK7">
        <v>0.114051868</v>
      </c>
      <c r="AL7">
        <v>0.112191181</v>
      </c>
      <c r="AM7">
        <v>0.10979844699999999</v>
      </c>
      <c r="AN7">
        <v>0.171797595</v>
      </c>
      <c r="AO7">
        <v>7.2089329999999998E-3</v>
      </c>
      <c r="AP7">
        <v>0.92014702599999998</v>
      </c>
    </row>
    <row r="8" spans="1:42" x14ac:dyDescent="0.2">
      <c r="A8" t="s">
        <v>138</v>
      </c>
      <c r="B8" t="s">
        <v>129</v>
      </c>
      <c r="C8" t="s">
        <v>131</v>
      </c>
      <c r="D8" t="s">
        <v>378</v>
      </c>
      <c r="E8">
        <v>1.5667199999999999E-2</v>
      </c>
      <c r="F8">
        <v>1.9416093999999998E-2</v>
      </c>
      <c r="G8">
        <v>2.8435826000000001E-2</v>
      </c>
      <c r="H8">
        <v>4.1201591000000003E-2</v>
      </c>
      <c r="I8">
        <v>4.9837589000000002E-2</v>
      </c>
      <c r="J8">
        <v>5.5638194000000002E-2</v>
      </c>
      <c r="K8">
        <v>5.9676409E-2</v>
      </c>
      <c r="L8">
        <v>-3.9255040999999997E-2</v>
      </c>
      <c r="M8">
        <v>-2.8076734999999998E-2</v>
      </c>
      <c r="N8">
        <v>-1.4987498E-2</v>
      </c>
      <c r="O8">
        <v>2.6765500000000002E-3</v>
      </c>
      <c r="P8">
        <v>1.4116264999999999E-2</v>
      </c>
      <c r="Q8">
        <v>2.2167692999999999E-2</v>
      </c>
      <c r="R8">
        <v>2.7588325E-2</v>
      </c>
      <c r="S8">
        <v>7.3025214000000005E-2</v>
      </c>
      <c r="T8">
        <v>6.9114795000000007E-2</v>
      </c>
      <c r="U8">
        <v>7.2891692999999994E-2</v>
      </c>
      <c r="V8">
        <v>8.1323166000000002E-2</v>
      </c>
      <c r="W8">
        <v>8.6597401000000004E-2</v>
      </c>
      <c r="X8">
        <v>8.9936766000000001E-2</v>
      </c>
      <c r="Y8">
        <v>9.2693057999999995E-2</v>
      </c>
      <c r="Z8">
        <v>-1.06142E-3</v>
      </c>
      <c r="AA8">
        <v>2.2612399999999999E-3</v>
      </c>
      <c r="AB8">
        <v>7.5151080000000004E-3</v>
      </c>
      <c r="AC8">
        <v>1.7453689000000001E-2</v>
      </c>
      <c r="AD8">
        <v>2.5238749000000001E-2</v>
      </c>
      <c r="AE8">
        <v>3.2116291999999998E-2</v>
      </c>
      <c r="AF8">
        <v>3.7159646999999997E-2</v>
      </c>
      <c r="AG8">
        <v>3.2676042000000002E-2</v>
      </c>
      <c r="AH8">
        <v>3.6864492999999998E-2</v>
      </c>
      <c r="AI8">
        <v>4.9790986000000002E-2</v>
      </c>
      <c r="AJ8">
        <v>6.5503702999999996E-2</v>
      </c>
      <c r="AK8">
        <v>7.5026614000000005E-2</v>
      </c>
      <c r="AL8">
        <v>7.9696185000000003E-2</v>
      </c>
      <c r="AM8">
        <v>8.2681838999999993E-2</v>
      </c>
      <c r="AN8">
        <v>0.17679847200000001</v>
      </c>
      <c r="AO8">
        <v>-1.9850940000000002E-3</v>
      </c>
      <c r="AP8">
        <v>0.91572126099999995</v>
      </c>
    </row>
    <row r="9" spans="1:42" x14ac:dyDescent="0.2">
      <c r="A9" t="s">
        <v>138</v>
      </c>
      <c r="B9" t="s">
        <v>129</v>
      </c>
      <c r="C9" t="s">
        <v>379</v>
      </c>
      <c r="D9" t="s">
        <v>380</v>
      </c>
      <c r="E9">
        <v>1.8424869E-2</v>
      </c>
      <c r="F9">
        <v>2.2198200000000001E-2</v>
      </c>
      <c r="G9">
        <v>3.1277537000000001E-2</v>
      </c>
      <c r="H9">
        <v>4.4128537000000002E-2</v>
      </c>
      <c r="I9">
        <v>5.2823067000000001E-2</v>
      </c>
      <c r="J9">
        <v>5.8663487E-2</v>
      </c>
      <c r="K9">
        <v>6.2729478000000005E-2</v>
      </c>
      <c r="L9">
        <v>-3.5783741000000001E-2</v>
      </c>
      <c r="M9">
        <v>-2.4307336999999998E-2</v>
      </c>
      <c r="N9">
        <v>-1.1746002E-2</v>
      </c>
      <c r="O9">
        <v>5.7205900000000002E-3</v>
      </c>
      <c r="P9">
        <v>1.7224673999999999E-2</v>
      </c>
      <c r="Q9">
        <v>2.5124007E-2</v>
      </c>
      <c r="R9">
        <v>3.0698990999999998E-2</v>
      </c>
      <c r="S9">
        <v>7.5462665999999998E-2</v>
      </c>
      <c r="T9">
        <v>7.1106340000000004E-2</v>
      </c>
      <c r="U9">
        <v>7.5392173000000007E-2</v>
      </c>
      <c r="V9">
        <v>8.3897298999999995E-2</v>
      </c>
      <c r="W9">
        <v>8.9412942999999995E-2</v>
      </c>
      <c r="X9">
        <v>9.2882724E-2</v>
      </c>
      <c r="Y9">
        <v>9.5616180999999995E-2</v>
      </c>
      <c r="Z9">
        <v>2.4541110000000001E-3</v>
      </c>
      <c r="AA9">
        <v>5.6163059999999997E-3</v>
      </c>
      <c r="AB9">
        <v>1.0894022999999999E-2</v>
      </c>
      <c r="AC9">
        <v>2.067772E-2</v>
      </c>
      <c r="AD9">
        <v>2.8398807000000002E-2</v>
      </c>
      <c r="AE9">
        <v>3.5155141000000001E-2</v>
      </c>
      <c r="AF9">
        <v>4.0255278999999998E-2</v>
      </c>
      <c r="AG9">
        <v>3.4650054E-2</v>
      </c>
      <c r="AH9">
        <v>3.9053554999999997E-2</v>
      </c>
      <c r="AI9">
        <v>5.2071968000000003E-2</v>
      </c>
      <c r="AJ9">
        <v>6.8118045000000002E-2</v>
      </c>
      <c r="AK9">
        <v>7.7827342999999993E-2</v>
      </c>
      <c r="AL9">
        <v>8.2705605000000001E-2</v>
      </c>
      <c r="AM9">
        <v>8.5689237000000001E-2</v>
      </c>
      <c r="AN9">
        <v>0.17575824100000001</v>
      </c>
      <c r="AO9">
        <v>-3.7766779999999999E-3</v>
      </c>
      <c r="AP9">
        <v>0.92005324799999999</v>
      </c>
    </row>
    <row r="10" spans="1:42" x14ac:dyDescent="0.2">
      <c r="A10" t="s">
        <v>138</v>
      </c>
      <c r="B10" t="s">
        <v>129</v>
      </c>
      <c r="C10" t="s">
        <v>156</v>
      </c>
      <c r="D10" t="s">
        <v>155</v>
      </c>
      <c r="E10">
        <v>4.9757956999999998E-2</v>
      </c>
      <c r="F10">
        <v>5.0519942999999998E-2</v>
      </c>
      <c r="G10">
        <v>5.2294970000000003E-2</v>
      </c>
      <c r="H10">
        <v>5.4665208E-2</v>
      </c>
      <c r="I10">
        <v>5.6151628000000002E-2</v>
      </c>
      <c r="J10">
        <v>5.7081818999999999E-2</v>
      </c>
      <c r="K10">
        <v>5.7691336000000003E-2</v>
      </c>
      <c r="L10">
        <v>-1.9536323000000001E-2</v>
      </c>
      <c r="M10">
        <v>-1.3686899000000001E-2</v>
      </c>
      <c r="N10">
        <v>-1.0423816000000001E-2</v>
      </c>
      <c r="O10">
        <v>-6.375014E-3</v>
      </c>
      <c r="P10">
        <v>-4.057522E-3</v>
      </c>
      <c r="Q10">
        <v>-9.6717700000000005E-4</v>
      </c>
      <c r="R10">
        <v>2.6117129999999999E-3</v>
      </c>
      <c r="S10">
        <v>0.12393106600000001</v>
      </c>
      <c r="T10">
        <v>0.11953809899999999</v>
      </c>
      <c r="U10">
        <v>0.11995143599999999</v>
      </c>
      <c r="V10">
        <v>0.121428856</v>
      </c>
      <c r="W10">
        <v>0.12052217</v>
      </c>
      <c r="X10">
        <v>0.11849578700000001</v>
      </c>
      <c r="Y10">
        <v>0.115165985</v>
      </c>
      <c r="Z10">
        <v>5.2814009999999998E-3</v>
      </c>
      <c r="AA10">
        <v>4.8352580000000003E-3</v>
      </c>
      <c r="AB10">
        <v>3.730241E-3</v>
      </c>
      <c r="AC10">
        <v>2.7534040000000001E-3</v>
      </c>
      <c r="AD10">
        <v>4.4792790000000001E-3</v>
      </c>
      <c r="AE10">
        <v>5.7995599999999996E-3</v>
      </c>
      <c r="AF10">
        <v>9.7296129999999998E-3</v>
      </c>
      <c r="AG10">
        <v>9.6202289999999996E-2</v>
      </c>
      <c r="AH10">
        <v>9.8281565000000001E-2</v>
      </c>
      <c r="AI10">
        <v>0.103209362</v>
      </c>
      <c r="AJ10">
        <v>0.109264418</v>
      </c>
      <c r="AK10">
        <v>0.110482001</v>
      </c>
      <c r="AL10">
        <v>0.11097868299999999</v>
      </c>
      <c r="AM10">
        <v>0.107931421</v>
      </c>
      <c r="AN10">
        <v>0.17770641200000001</v>
      </c>
      <c r="AO10">
        <v>0.196752869</v>
      </c>
      <c r="AP10">
        <v>0.74993704500000002</v>
      </c>
    </row>
    <row r="11" spans="1:42" x14ac:dyDescent="0.2">
      <c r="A11" t="s">
        <v>138</v>
      </c>
      <c r="B11" t="s">
        <v>129</v>
      </c>
      <c r="C11" t="s">
        <v>360</v>
      </c>
      <c r="D11" t="s">
        <v>161</v>
      </c>
      <c r="E11">
        <v>2.4742007E-2</v>
      </c>
      <c r="F11">
        <v>2.7862787E-2</v>
      </c>
      <c r="G11">
        <v>3.5352944999999997E-2</v>
      </c>
      <c r="H11">
        <v>4.5907973999999997E-2</v>
      </c>
      <c r="I11">
        <v>5.3012848000000001E-2</v>
      </c>
      <c r="J11">
        <v>5.7765602999999999E-2</v>
      </c>
      <c r="K11">
        <v>6.1063646999999999E-2</v>
      </c>
      <c r="L11">
        <v>-4.7738566000000003E-2</v>
      </c>
      <c r="M11">
        <v>-3.6925758000000003E-2</v>
      </c>
      <c r="N11">
        <v>-2.3374455999999998E-2</v>
      </c>
      <c r="O11">
        <v>-8.6924199999999993E-3</v>
      </c>
      <c r="P11">
        <v>1.4687229999999999E-3</v>
      </c>
      <c r="Q11">
        <v>9.809145E-3</v>
      </c>
      <c r="R11">
        <v>1.5439369E-2</v>
      </c>
      <c r="S11">
        <v>0.10377966</v>
      </c>
      <c r="T11">
        <v>9.6141025000000005E-2</v>
      </c>
      <c r="U11">
        <v>9.6984758000000004E-2</v>
      </c>
      <c r="V11">
        <v>0.103647524</v>
      </c>
      <c r="W11">
        <v>0.10730469099999999</v>
      </c>
      <c r="X11">
        <v>0.108453359</v>
      </c>
      <c r="Y11">
        <v>0.109058057</v>
      </c>
      <c r="Z11">
        <v>-9.3263670000000003E-3</v>
      </c>
      <c r="AA11">
        <v>-5.1425400000000001E-3</v>
      </c>
      <c r="AB11">
        <v>-2.1877659999999998E-3</v>
      </c>
      <c r="AC11">
        <v>7.188608E-3</v>
      </c>
      <c r="AD11">
        <v>1.4265534E-2</v>
      </c>
      <c r="AE11">
        <v>1.8537814999999999E-2</v>
      </c>
      <c r="AF11">
        <v>2.4501400999999999E-2</v>
      </c>
      <c r="AG11">
        <v>5.9981868000000001E-2</v>
      </c>
      <c r="AH11">
        <v>6.1963053999999997E-2</v>
      </c>
      <c r="AI11">
        <v>7.4305856000000003E-2</v>
      </c>
      <c r="AJ11">
        <v>8.6115653E-2</v>
      </c>
      <c r="AK11">
        <v>9.3240426000000001E-2</v>
      </c>
      <c r="AL11">
        <v>9.8504184999999994E-2</v>
      </c>
      <c r="AM11">
        <v>9.8930804999999997E-2</v>
      </c>
      <c r="AN11">
        <v>0.21597485499999999</v>
      </c>
      <c r="AO11">
        <v>-4.0970395999999999E-2</v>
      </c>
      <c r="AP11">
        <v>0.88602800699999995</v>
      </c>
    </row>
    <row r="12" spans="1:42" x14ac:dyDescent="0.2">
      <c r="A12" t="s">
        <v>138</v>
      </c>
      <c r="B12" t="s">
        <v>129</v>
      </c>
      <c r="C12" t="s">
        <v>158</v>
      </c>
      <c r="D12" t="s">
        <v>157</v>
      </c>
      <c r="E12">
        <v>6.4142108000000003E-2</v>
      </c>
      <c r="F12">
        <v>6.4181804999999995E-2</v>
      </c>
      <c r="G12">
        <v>6.4215659999999994E-2</v>
      </c>
      <c r="H12">
        <v>6.4113139999999999E-2</v>
      </c>
      <c r="I12">
        <v>6.3915730000000004E-2</v>
      </c>
      <c r="J12">
        <v>6.3706635999999997E-2</v>
      </c>
      <c r="K12">
        <v>6.3517928000000001E-2</v>
      </c>
      <c r="L12">
        <v>1.2691427999999999E-2</v>
      </c>
      <c r="M12">
        <v>1.6886925000000001E-2</v>
      </c>
      <c r="N12">
        <v>1.6645466000000001E-2</v>
      </c>
      <c r="O12">
        <v>1.6211937999999999E-2</v>
      </c>
      <c r="P12">
        <v>1.6507496999999999E-2</v>
      </c>
      <c r="Q12">
        <v>1.8068173999999999E-2</v>
      </c>
      <c r="R12">
        <v>1.8778548999999999E-2</v>
      </c>
      <c r="S12">
        <v>0.119196651</v>
      </c>
      <c r="T12">
        <v>0.11420111099999999</v>
      </c>
      <c r="U12">
        <v>0.11444652900000001</v>
      </c>
      <c r="V12">
        <v>0.114297653</v>
      </c>
      <c r="W12">
        <v>0.11360091</v>
      </c>
      <c r="X12">
        <v>0.112567106</v>
      </c>
      <c r="Y12">
        <v>0.10978890700000001</v>
      </c>
      <c r="Z12">
        <v>3.2902155000000002E-2</v>
      </c>
      <c r="AA12">
        <v>3.1873422999999998E-2</v>
      </c>
      <c r="AB12">
        <v>2.7480615E-2</v>
      </c>
      <c r="AC12">
        <v>2.2386535999999999E-2</v>
      </c>
      <c r="AD12">
        <v>2.0859348E-2</v>
      </c>
      <c r="AE12">
        <v>2.0543543000000001E-2</v>
      </c>
      <c r="AF12">
        <v>2.2820701999999998E-2</v>
      </c>
      <c r="AG12">
        <v>9.6326785999999998E-2</v>
      </c>
      <c r="AH12">
        <v>9.7501694999999999E-2</v>
      </c>
      <c r="AI12">
        <v>0.102263997</v>
      </c>
      <c r="AJ12">
        <v>0.10754269599999999</v>
      </c>
      <c r="AK12">
        <v>0.108788173</v>
      </c>
      <c r="AL12">
        <v>0.108695263</v>
      </c>
      <c r="AM12">
        <v>0.105834421</v>
      </c>
      <c r="AN12">
        <v>0.13571704900000001</v>
      </c>
      <c r="AO12">
        <v>0.11263864699999999</v>
      </c>
      <c r="AP12">
        <v>0.78303976099999995</v>
      </c>
    </row>
    <row r="13" spans="1:42" x14ac:dyDescent="0.2">
      <c r="A13" t="s">
        <v>138</v>
      </c>
      <c r="B13" t="s">
        <v>129</v>
      </c>
      <c r="C13" t="s">
        <v>173</v>
      </c>
      <c r="D13" t="s">
        <v>160</v>
      </c>
      <c r="E13">
        <v>1.1999965E-2</v>
      </c>
      <c r="F13">
        <v>1.7231225999999999E-2</v>
      </c>
      <c r="G13">
        <v>2.9873489999999999E-2</v>
      </c>
      <c r="H13">
        <v>4.7901869E-2</v>
      </c>
      <c r="I13">
        <v>6.020093E-2</v>
      </c>
      <c r="J13">
        <v>6.8516850000000004E-2</v>
      </c>
      <c r="K13">
        <v>7.4335098000000002E-2</v>
      </c>
      <c r="L13">
        <v>-8.8546731000000004E-2</v>
      </c>
      <c r="M13">
        <v>-7.7974832999999993E-2</v>
      </c>
      <c r="N13">
        <v>-6.7772348999999996E-2</v>
      </c>
      <c r="O13">
        <v>-5.1333462000000003E-2</v>
      </c>
      <c r="P13">
        <v>-3.8909302999999999E-2</v>
      </c>
      <c r="Q13">
        <v>-2.9475785000000001E-2</v>
      </c>
      <c r="R13">
        <v>-2.0169665E-2</v>
      </c>
      <c r="S13">
        <v>0.124923797</v>
      </c>
      <c r="T13">
        <v>0.12184199699999999</v>
      </c>
      <c r="U13">
        <v>0.13705777899999999</v>
      </c>
      <c r="V13">
        <v>0.156630782</v>
      </c>
      <c r="W13">
        <v>0.17052920899999999</v>
      </c>
      <c r="X13">
        <v>0.175167091</v>
      </c>
      <c r="Y13">
        <v>0.17696841399999999</v>
      </c>
      <c r="Z13">
        <v>-4.9212645999999999E-2</v>
      </c>
      <c r="AA13">
        <v>-4.8882261000000003E-2</v>
      </c>
      <c r="AB13">
        <v>-4.9562022999999997E-2</v>
      </c>
      <c r="AC13">
        <v>-4.0845776E-2</v>
      </c>
      <c r="AD13">
        <v>-2.6959795000000002E-2</v>
      </c>
      <c r="AE13">
        <v>-2.3406496999999998E-2</v>
      </c>
      <c r="AF13">
        <v>-1.1582251E-2</v>
      </c>
      <c r="AG13">
        <v>7.7153491000000005E-2</v>
      </c>
      <c r="AH13">
        <v>8.7940513999999997E-2</v>
      </c>
      <c r="AI13">
        <v>0.115947982</v>
      </c>
      <c r="AJ13">
        <v>0.14486081200000001</v>
      </c>
      <c r="AK13">
        <v>0.155168952</v>
      </c>
      <c r="AL13">
        <v>0.16909249100000001</v>
      </c>
      <c r="AM13">
        <v>0.16772076999999999</v>
      </c>
      <c r="AN13">
        <v>0.29087705200000002</v>
      </c>
      <c r="AO13">
        <v>-9.6210339000000006E-2</v>
      </c>
      <c r="AP13">
        <v>0.57140740099999998</v>
      </c>
    </row>
    <row r="14" spans="1:42" x14ac:dyDescent="0.2">
      <c r="A14" t="s">
        <v>138</v>
      </c>
      <c r="B14" t="s">
        <v>129</v>
      </c>
      <c r="C14" t="s">
        <v>163</v>
      </c>
      <c r="D14" t="s">
        <v>100</v>
      </c>
      <c r="E14">
        <v>3.4677863000000003E-2</v>
      </c>
      <c r="F14">
        <v>3.6820411999999997E-2</v>
      </c>
      <c r="G14">
        <v>4.1935205000000003E-2</v>
      </c>
      <c r="H14">
        <v>4.9074768999999997E-2</v>
      </c>
      <c r="I14">
        <v>5.3826093999999998E-2</v>
      </c>
      <c r="J14">
        <v>5.6973337999999998E-2</v>
      </c>
      <c r="K14">
        <v>5.9140325000000001E-2</v>
      </c>
      <c r="L14">
        <v>-1.265069E-3</v>
      </c>
      <c r="M14">
        <v>5.1093889999999998E-3</v>
      </c>
      <c r="N14">
        <v>1.3144484999999999E-2</v>
      </c>
      <c r="O14">
        <v>2.2712197E-2</v>
      </c>
      <c r="P14">
        <v>2.9231795000000001E-2</v>
      </c>
      <c r="Q14">
        <v>3.3955821999999997E-2</v>
      </c>
      <c r="R14">
        <v>3.6524629000000003E-2</v>
      </c>
      <c r="S14">
        <v>7.2134021000000006E-2</v>
      </c>
      <c r="T14">
        <v>6.9373677999999994E-2</v>
      </c>
      <c r="U14">
        <v>7.1627780000000002E-2</v>
      </c>
      <c r="V14">
        <v>7.5820920999999999E-2</v>
      </c>
      <c r="W14">
        <v>7.8906534E-2</v>
      </c>
      <c r="X14">
        <v>8.0553660999999999E-2</v>
      </c>
      <c r="Y14">
        <v>8.1524030999999997E-2</v>
      </c>
      <c r="Z14">
        <v>2.4480749E-2</v>
      </c>
      <c r="AA14">
        <v>2.5740282999999999E-2</v>
      </c>
      <c r="AB14">
        <v>2.8248569000000001E-2</v>
      </c>
      <c r="AC14">
        <v>3.2388686E-2</v>
      </c>
      <c r="AD14">
        <v>3.6265472E-2</v>
      </c>
      <c r="AE14">
        <v>3.9007964999999999E-2</v>
      </c>
      <c r="AF14">
        <v>4.2263241E-2</v>
      </c>
      <c r="AG14">
        <v>4.4976418999999997E-2</v>
      </c>
      <c r="AH14">
        <v>4.8020357999999999E-2</v>
      </c>
      <c r="AI14">
        <v>5.5803856999999998E-2</v>
      </c>
      <c r="AJ14">
        <v>6.6030420000000006E-2</v>
      </c>
      <c r="AK14">
        <v>7.1684157999999998E-2</v>
      </c>
      <c r="AL14">
        <v>7.5249321999999993E-2</v>
      </c>
      <c r="AM14">
        <v>7.6290658999999997E-2</v>
      </c>
      <c r="AN14">
        <v>0.115264241</v>
      </c>
      <c r="AO14">
        <v>0.13258477399999999</v>
      </c>
      <c r="AP14">
        <v>0.87470927099999995</v>
      </c>
    </row>
    <row r="15" spans="1:42" x14ac:dyDescent="0.2">
      <c r="A15" t="s">
        <v>138</v>
      </c>
      <c r="B15" t="s">
        <v>129</v>
      </c>
      <c r="C15" t="s">
        <v>171</v>
      </c>
      <c r="D15" t="s">
        <v>159</v>
      </c>
      <c r="E15">
        <v>3.9989232999999999E-2</v>
      </c>
      <c r="F15">
        <v>4.1852117000000001E-2</v>
      </c>
      <c r="G15">
        <v>4.6288848E-2</v>
      </c>
      <c r="H15">
        <v>5.2456616999999997E-2</v>
      </c>
      <c r="I15">
        <v>5.6540251E-2</v>
      </c>
      <c r="J15">
        <v>5.9233068999999999E-2</v>
      </c>
      <c r="K15">
        <v>6.1080216999999999E-2</v>
      </c>
      <c r="L15">
        <v>-9.1437281999999995E-2</v>
      </c>
      <c r="M15">
        <v>-8.6010762000000004E-2</v>
      </c>
      <c r="N15">
        <v>-9.2992521999999994E-2</v>
      </c>
      <c r="O15">
        <v>-9.8629436000000001E-2</v>
      </c>
      <c r="P15">
        <v>-9.3196485999999995E-2</v>
      </c>
      <c r="Q15">
        <v>-8.8657139999999995E-2</v>
      </c>
      <c r="R15">
        <v>-8.2382828000000005E-2</v>
      </c>
      <c r="S15">
        <v>0.19096822999999999</v>
      </c>
      <c r="T15">
        <v>0.18716111999999999</v>
      </c>
      <c r="U15">
        <v>0.205540097</v>
      </c>
      <c r="V15">
        <v>0.230185901</v>
      </c>
      <c r="W15">
        <v>0.23002497799999999</v>
      </c>
      <c r="X15">
        <v>0.232279812</v>
      </c>
      <c r="Y15">
        <v>0.228804862</v>
      </c>
      <c r="Z15">
        <v>-5.5855226000000001E-2</v>
      </c>
      <c r="AA15">
        <v>-5.9450519E-2</v>
      </c>
      <c r="AB15">
        <v>-7.8823453000000002E-2</v>
      </c>
      <c r="AC15">
        <v>-9.3203405000000003E-2</v>
      </c>
      <c r="AD15">
        <v>-9.2251110999999997E-2</v>
      </c>
      <c r="AE15">
        <v>-8.5131966000000003E-2</v>
      </c>
      <c r="AF15">
        <v>-7.2477579E-2</v>
      </c>
      <c r="AG15">
        <v>0.14556343199999999</v>
      </c>
      <c r="AH15">
        <v>0.15406578400000001</v>
      </c>
      <c r="AI15">
        <v>0.18839346800000001</v>
      </c>
      <c r="AJ15">
        <v>0.22151410599999999</v>
      </c>
      <c r="AK15">
        <v>0.22972039999999999</v>
      </c>
      <c r="AL15">
        <v>0.22637876200000001</v>
      </c>
      <c r="AM15">
        <v>0.213869693</v>
      </c>
      <c r="AN15">
        <v>0.31277066199999998</v>
      </c>
      <c r="AO15">
        <v>-2.5970179999999999E-2</v>
      </c>
      <c r="AP15">
        <v>0.36396246599999998</v>
      </c>
    </row>
    <row r="16" spans="1:42" x14ac:dyDescent="0.2">
      <c r="A16" t="s">
        <v>138</v>
      </c>
      <c r="B16" t="s">
        <v>112</v>
      </c>
      <c r="C16" t="s">
        <v>361</v>
      </c>
      <c r="D16" t="s">
        <v>152</v>
      </c>
      <c r="E16">
        <v>3.8420915999999999E-2</v>
      </c>
      <c r="F16">
        <v>3.8581491000000002E-2</v>
      </c>
      <c r="G16">
        <v>3.8908005000000002E-2</v>
      </c>
      <c r="H16">
        <v>3.9223671000000002E-2</v>
      </c>
      <c r="I16">
        <v>3.9313316000000001E-2</v>
      </c>
      <c r="J16">
        <v>3.9299845999999999E-2</v>
      </c>
      <c r="K16">
        <v>3.9249063000000001E-2</v>
      </c>
      <c r="L16">
        <v>2.1935260000000002E-2</v>
      </c>
      <c r="M16">
        <v>2.3704157E-2</v>
      </c>
      <c r="N16">
        <v>2.3840976999999999E-2</v>
      </c>
      <c r="O16">
        <v>2.3478625999999999E-2</v>
      </c>
      <c r="P16">
        <v>2.3496856999999999E-2</v>
      </c>
      <c r="Q16">
        <v>2.3753988E-2</v>
      </c>
      <c r="R16">
        <v>2.4037566999999999E-2</v>
      </c>
      <c r="S16">
        <v>5.5111608999999999E-2</v>
      </c>
      <c r="T16">
        <v>5.3519361000000001E-2</v>
      </c>
      <c r="U16">
        <v>5.4131888000000003E-2</v>
      </c>
      <c r="V16">
        <v>5.5019376000000002E-2</v>
      </c>
      <c r="W16">
        <v>5.5213819999999997E-2</v>
      </c>
      <c r="X16">
        <v>5.5054207000000001E-2</v>
      </c>
      <c r="Y16">
        <v>5.4787387999999999E-2</v>
      </c>
      <c r="Z16">
        <v>3.0986224E-2</v>
      </c>
      <c r="AA16">
        <v>3.0272371999999999E-2</v>
      </c>
      <c r="AB16">
        <v>2.8259553E-2</v>
      </c>
      <c r="AC16">
        <v>2.5497661000000001E-2</v>
      </c>
      <c r="AD16">
        <v>2.4868739000000001E-2</v>
      </c>
      <c r="AE16">
        <v>2.5265187000000001E-2</v>
      </c>
      <c r="AF16">
        <v>2.5819776999999999E-2</v>
      </c>
      <c r="AG16">
        <v>4.5909270000000002E-2</v>
      </c>
      <c r="AH16">
        <v>4.6957780999999997E-2</v>
      </c>
      <c r="AI16">
        <v>4.9666720999999997E-2</v>
      </c>
      <c r="AJ16">
        <v>5.313329E-2</v>
      </c>
      <c r="AK16">
        <v>5.3961433000000003E-2</v>
      </c>
      <c r="AL16">
        <v>5.3526571000000002E-2</v>
      </c>
      <c r="AM16">
        <v>5.2854098000000002E-2</v>
      </c>
      <c r="AN16">
        <v>4.8182148000000001E-2</v>
      </c>
      <c r="AO16">
        <v>0.77842230300000004</v>
      </c>
      <c r="AP16">
        <v>-7.1895240999999999E-2</v>
      </c>
    </row>
    <row r="17" spans="1:42" x14ac:dyDescent="0.2">
      <c r="A17" t="s">
        <v>138</v>
      </c>
      <c r="B17" t="s">
        <v>112</v>
      </c>
      <c r="C17" t="s">
        <v>362</v>
      </c>
      <c r="D17" t="s">
        <v>151</v>
      </c>
      <c r="E17">
        <v>5.1391244000000003E-2</v>
      </c>
      <c r="F17">
        <v>5.0673603999999997E-2</v>
      </c>
      <c r="G17">
        <v>4.8887967999999997E-2</v>
      </c>
      <c r="H17">
        <v>4.6216011000000001E-2</v>
      </c>
      <c r="I17">
        <v>4.4279218000000002E-2</v>
      </c>
      <c r="J17">
        <v>4.2898417000000001E-2</v>
      </c>
      <c r="K17">
        <v>4.1891217000000001E-2</v>
      </c>
      <c r="L17">
        <v>2.7326132E-2</v>
      </c>
      <c r="M17">
        <v>2.8278694E-2</v>
      </c>
      <c r="N17">
        <v>2.7211815E-2</v>
      </c>
      <c r="O17">
        <v>2.4942856999999999E-2</v>
      </c>
      <c r="P17">
        <v>2.3190377000000002E-2</v>
      </c>
      <c r="Q17">
        <v>2.2467773E-2</v>
      </c>
      <c r="R17">
        <v>2.2287254999999999E-2</v>
      </c>
      <c r="S17">
        <v>7.6041668000000007E-2</v>
      </c>
      <c r="T17">
        <v>7.2850851999999994E-2</v>
      </c>
      <c r="U17">
        <v>7.1035585999999998E-2</v>
      </c>
      <c r="V17">
        <v>6.8255308000000001E-2</v>
      </c>
      <c r="W17">
        <v>6.5725307999999996E-2</v>
      </c>
      <c r="X17">
        <v>6.3906475000000004E-2</v>
      </c>
      <c r="Y17">
        <v>6.1943400000000003E-2</v>
      </c>
      <c r="Z17">
        <v>3.3889967E-2</v>
      </c>
      <c r="AA17">
        <v>3.3309357999999997E-2</v>
      </c>
      <c r="AB17">
        <v>2.9988056999999999E-2</v>
      </c>
      <c r="AC17">
        <v>2.6127200999999999E-2</v>
      </c>
      <c r="AD17">
        <v>2.4646080000000001E-2</v>
      </c>
      <c r="AE17">
        <v>2.4832258999999999E-2</v>
      </c>
      <c r="AF17">
        <v>2.4790916999999999E-2</v>
      </c>
      <c r="AG17">
        <v>6.9188643999999994E-2</v>
      </c>
      <c r="AH17">
        <v>6.8329828999999995E-2</v>
      </c>
      <c r="AI17">
        <v>6.8134765E-2</v>
      </c>
      <c r="AJ17">
        <v>6.6697922000000007E-2</v>
      </c>
      <c r="AK17">
        <v>6.4288654000000001E-2</v>
      </c>
      <c r="AL17">
        <v>6.1282976000000003E-2</v>
      </c>
      <c r="AM17">
        <v>5.9276826999999997E-2</v>
      </c>
      <c r="AN17">
        <v>5.3724719999999997E-2</v>
      </c>
      <c r="AO17">
        <v>0.739625635</v>
      </c>
      <c r="AP17">
        <v>-0.12992663400000001</v>
      </c>
    </row>
    <row r="18" spans="1:42" x14ac:dyDescent="0.2">
      <c r="A18" t="s">
        <v>138</v>
      </c>
      <c r="B18" t="s">
        <v>112</v>
      </c>
      <c r="C18" t="s">
        <v>356</v>
      </c>
      <c r="D18" t="s">
        <v>150</v>
      </c>
      <c r="E18">
        <v>3.0341744E-2</v>
      </c>
      <c r="F18">
        <v>3.1541108999999998E-2</v>
      </c>
      <c r="G18">
        <v>3.4373282999999998E-2</v>
      </c>
      <c r="H18">
        <v>3.8251518999999998E-2</v>
      </c>
      <c r="I18">
        <v>4.0769219000000002E-2</v>
      </c>
      <c r="J18">
        <v>4.2399882999999999E-2</v>
      </c>
      <c r="K18">
        <v>4.3501377000000001E-2</v>
      </c>
      <c r="L18">
        <v>1.1804929E-2</v>
      </c>
      <c r="M18">
        <v>1.484653E-2</v>
      </c>
      <c r="N18">
        <v>1.7863782000000002E-2</v>
      </c>
      <c r="O18">
        <v>2.1191840999999999E-2</v>
      </c>
      <c r="P18">
        <v>2.4008631999999999E-2</v>
      </c>
      <c r="Q18">
        <v>2.6100029E-2</v>
      </c>
      <c r="R18">
        <v>2.7716582999999999E-2</v>
      </c>
      <c r="S18">
        <v>4.90506E-2</v>
      </c>
      <c r="T18">
        <v>4.8443462999999999E-2</v>
      </c>
      <c r="U18">
        <v>5.1120260000000001E-2</v>
      </c>
      <c r="V18">
        <v>5.4944914999999997E-2</v>
      </c>
      <c r="W18">
        <v>5.7488043000000003E-2</v>
      </c>
      <c r="X18">
        <v>5.8784639999999999E-2</v>
      </c>
      <c r="Y18">
        <v>5.9414415999999998E-2</v>
      </c>
      <c r="Z18">
        <v>2.2990014999999999E-2</v>
      </c>
      <c r="AA18">
        <v>2.3786914999999999E-2</v>
      </c>
      <c r="AB18">
        <v>2.4181562E-2</v>
      </c>
      <c r="AC18">
        <v>2.5403795999999999E-2</v>
      </c>
      <c r="AD18">
        <v>2.6793058000000002E-2</v>
      </c>
      <c r="AE18">
        <v>2.8156608999999999E-2</v>
      </c>
      <c r="AF18">
        <v>2.9877138000000001E-2</v>
      </c>
      <c r="AG18">
        <v>3.7746332E-2</v>
      </c>
      <c r="AH18">
        <v>3.9353950999999998E-2</v>
      </c>
      <c r="AI18">
        <v>4.4666416E-2</v>
      </c>
      <c r="AJ18">
        <v>5.1260200999999998E-2</v>
      </c>
      <c r="AK18">
        <v>5.4935883999999997E-2</v>
      </c>
      <c r="AL18">
        <v>5.6840330000000001E-2</v>
      </c>
      <c r="AM18">
        <v>5.7305804000000002E-2</v>
      </c>
      <c r="AN18">
        <v>5.6393993000000003E-2</v>
      </c>
      <c r="AO18">
        <v>0.67547378300000005</v>
      </c>
      <c r="AP18">
        <v>0.22542145099999999</v>
      </c>
    </row>
    <row r="19" spans="1:42" x14ac:dyDescent="0.2">
      <c r="A19" t="s">
        <v>138</v>
      </c>
      <c r="B19" t="s">
        <v>112</v>
      </c>
      <c r="C19" t="s">
        <v>363</v>
      </c>
      <c r="D19" t="s">
        <v>149</v>
      </c>
      <c r="E19">
        <v>6.4433809999999998E-3</v>
      </c>
      <c r="F19">
        <v>9.8021029999999995E-3</v>
      </c>
      <c r="G19">
        <v>1.7873167999999998E-2</v>
      </c>
      <c r="H19">
        <v>2.9270529999999999E-2</v>
      </c>
      <c r="I19">
        <v>3.6961079000000001E-2</v>
      </c>
      <c r="J19">
        <v>4.2115687999999998E-2</v>
      </c>
      <c r="K19">
        <v>4.5698284999999998E-2</v>
      </c>
      <c r="L19">
        <v>-2.9428531000000001E-2</v>
      </c>
      <c r="M19">
        <v>-2.3136238999999999E-2</v>
      </c>
      <c r="N19">
        <v>-1.3933599E-2</v>
      </c>
      <c r="O19">
        <v>-2.4036600000000002E-3</v>
      </c>
      <c r="P19">
        <v>6.1712809999999998E-3</v>
      </c>
      <c r="Q19">
        <v>1.2056157E-2</v>
      </c>
      <c r="R19">
        <v>1.7320154000000001E-2</v>
      </c>
      <c r="S19">
        <v>4.3970136E-2</v>
      </c>
      <c r="T19">
        <v>4.4051663999999997E-2</v>
      </c>
      <c r="U19">
        <v>5.0713538000000002E-2</v>
      </c>
      <c r="V19">
        <v>6.1617395999999998E-2</v>
      </c>
      <c r="W19">
        <v>6.8935341999999997E-2</v>
      </c>
      <c r="X19">
        <v>7.2842343000000004E-2</v>
      </c>
      <c r="Y19">
        <v>7.5069660999999996E-2</v>
      </c>
      <c r="Z19">
        <v>-1.2028380999999999E-2</v>
      </c>
      <c r="AA19">
        <v>-8.6846140000000002E-3</v>
      </c>
      <c r="AB19">
        <v>-3.72807E-3</v>
      </c>
      <c r="AC19">
        <v>5.1961569999999999E-3</v>
      </c>
      <c r="AD19">
        <v>1.0951839E-2</v>
      </c>
      <c r="AE19">
        <v>1.6820175E-2</v>
      </c>
      <c r="AF19">
        <v>2.1525875E-2</v>
      </c>
      <c r="AG19">
        <v>2.5260264000000001E-2</v>
      </c>
      <c r="AH19">
        <v>2.863363E-2</v>
      </c>
      <c r="AI19">
        <v>3.9942846999999997E-2</v>
      </c>
      <c r="AJ19">
        <v>5.3921566999999997E-2</v>
      </c>
      <c r="AK19">
        <v>6.3639433999999995E-2</v>
      </c>
      <c r="AL19">
        <v>6.8040594999999995E-2</v>
      </c>
      <c r="AM19">
        <v>7.0442820000000003E-2</v>
      </c>
      <c r="AN19">
        <v>0.10597466799999999</v>
      </c>
      <c r="AO19">
        <v>0.64507259500000003</v>
      </c>
      <c r="AP19">
        <v>0.25026099800000001</v>
      </c>
    </row>
    <row r="20" spans="1:42" x14ac:dyDescent="0.2">
      <c r="A20" t="s">
        <v>138</v>
      </c>
      <c r="B20" t="s">
        <v>112</v>
      </c>
      <c r="C20" t="s">
        <v>357</v>
      </c>
      <c r="D20" t="s">
        <v>148</v>
      </c>
      <c r="E20">
        <v>3.6019563999999997E-2</v>
      </c>
      <c r="F20">
        <v>3.5992384000000002E-2</v>
      </c>
      <c r="G20">
        <v>3.5866976000000002E-2</v>
      </c>
      <c r="H20">
        <v>3.5542727000000003E-2</v>
      </c>
      <c r="I20">
        <v>3.5198330999999999E-2</v>
      </c>
      <c r="J20">
        <v>3.4891843999999998E-2</v>
      </c>
      <c r="K20">
        <v>3.4636259000000003E-2</v>
      </c>
      <c r="L20">
        <v>1.9851489E-2</v>
      </c>
      <c r="M20">
        <v>2.1392324000000001E-2</v>
      </c>
      <c r="N20">
        <v>2.1334208E-2</v>
      </c>
      <c r="O20">
        <v>2.0111497999999998E-2</v>
      </c>
      <c r="P20">
        <v>1.9905290999999999E-2</v>
      </c>
      <c r="Q20">
        <v>1.9828668000000001E-2</v>
      </c>
      <c r="R20">
        <v>1.98003E-2</v>
      </c>
      <c r="S20">
        <v>5.2417221E-2</v>
      </c>
      <c r="T20">
        <v>5.0805036999999997E-2</v>
      </c>
      <c r="U20">
        <v>5.0674693999999999E-2</v>
      </c>
      <c r="V20">
        <v>5.0912595999999997E-2</v>
      </c>
      <c r="W20">
        <v>5.0736111E-2</v>
      </c>
      <c r="X20">
        <v>5.0196162000000003E-2</v>
      </c>
      <c r="Y20">
        <v>4.9690559000000002E-2</v>
      </c>
      <c r="Z20">
        <v>2.8531706E-2</v>
      </c>
      <c r="AA20">
        <v>2.8256494E-2</v>
      </c>
      <c r="AB20">
        <v>2.5600474000000002E-2</v>
      </c>
      <c r="AC20">
        <v>2.2249924000000001E-2</v>
      </c>
      <c r="AD20">
        <v>2.1056793000000001E-2</v>
      </c>
      <c r="AE20">
        <v>2.0691503999999999E-2</v>
      </c>
      <c r="AF20">
        <v>2.0953093999999998E-2</v>
      </c>
      <c r="AG20">
        <v>4.3561939000000001E-2</v>
      </c>
      <c r="AH20">
        <v>4.3786490999999997E-2</v>
      </c>
      <c r="AI20">
        <v>4.6236092999999999E-2</v>
      </c>
      <c r="AJ20">
        <v>4.9008435000000003E-2</v>
      </c>
      <c r="AK20">
        <v>4.9535735999999997E-2</v>
      </c>
      <c r="AL20">
        <v>4.9289893000000001E-2</v>
      </c>
      <c r="AM20">
        <v>4.8502828999999997E-2</v>
      </c>
      <c r="AN20">
        <v>4.7516528000000002E-2</v>
      </c>
      <c r="AO20">
        <v>0.77186784100000005</v>
      </c>
      <c r="AP20">
        <v>-0.25686875399999998</v>
      </c>
    </row>
    <row r="21" spans="1:42" x14ac:dyDescent="0.2">
      <c r="A21" t="s">
        <v>138</v>
      </c>
      <c r="B21" t="s">
        <v>112</v>
      </c>
      <c r="C21" t="s">
        <v>364</v>
      </c>
      <c r="D21" t="s">
        <v>147</v>
      </c>
      <c r="E21">
        <v>1.9560337000000001E-2</v>
      </c>
      <c r="F21">
        <v>2.0561098999999999E-2</v>
      </c>
      <c r="G21">
        <v>2.2914171000000001E-2</v>
      </c>
      <c r="H21">
        <v>2.6111364000000001E-2</v>
      </c>
      <c r="I21">
        <v>2.816546E-2</v>
      </c>
      <c r="J21">
        <v>2.9482484E-2</v>
      </c>
      <c r="K21">
        <v>3.0364512999999999E-2</v>
      </c>
      <c r="L21">
        <v>-2.2171447E-2</v>
      </c>
      <c r="M21">
        <v>-1.8097234E-2</v>
      </c>
      <c r="N21">
        <v>-1.3942669E-2</v>
      </c>
      <c r="O21">
        <v>-1.0102234E-2</v>
      </c>
      <c r="P21">
        <v>-6.9631040000000003E-3</v>
      </c>
      <c r="Q21">
        <v>-4.1199740000000002E-3</v>
      </c>
      <c r="R21">
        <v>-1.754086E-3</v>
      </c>
      <c r="S21">
        <v>6.3271396999999993E-2</v>
      </c>
      <c r="T21">
        <v>6.0298915000000002E-2</v>
      </c>
      <c r="U21">
        <v>6.1680802E-2</v>
      </c>
      <c r="V21">
        <v>6.3676086000000007E-2</v>
      </c>
      <c r="W21">
        <v>6.4701306E-2</v>
      </c>
      <c r="X21">
        <v>6.4354041000000001E-2</v>
      </c>
      <c r="Y21">
        <v>6.3522405000000004E-2</v>
      </c>
      <c r="Z21">
        <v>-3.861293E-3</v>
      </c>
      <c r="AA21">
        <v>-2.6627640000000002E-3</v>
      </c>
      <c r="AB21">
        <v>-3.259203E-3</v>
      </c>
      <c r="AC21">
        <v>-2.184666E-3</v>
      </c>
      <c r="AD21">
        <v>-9.6309399999999995E-4</v>
      </c>
      <c r="AE21">
        <v>2.9888899999999999E-4</v>
      </c>
      <c r="AF21">
        <v>1.584579E-3</v>
      </c>
      <c r="AG21">
        <v>4.3532728E-2</v>
      </c>
      <c r="AH21">
        <v>4.4325610000000001E-2</v>
      </c>
      <c r="AI21">
        <v>4.9774692000000002E-2</v>
      </c>
      <c r="AJ21">
        <v>5.5209776000000002E-2</v>
      </c>
      <c r="AK21">
        <v>5.8143404000000003E-2</v>
      </c>
      <c r="AL21">
        <v>5.9517447000000001E-2</v>
      </c>
      <c r="AM21">
        <v>5.9971393999999997E-2</v>
      </c>
      <c r="AN21">
        <v>0.11928757700000001</v>
      </c>
      <c r="AO21">
        <v>0.75728729400000006</v>
      </c>
      <c r="AP21">
        <v>-0.20619309799999999</v>
      </c>
    </row>
    <row r="22" spans="1:42" x14ac:dyDescent="0.2">
      <c r="A22" t="s">
        <v>138</v>
      </c>
      <c r="B22" t="s">
        <v>112</v>
      </c>
      <c r="C22" t="s">
        <v>122</v>
      </c>
      <c r="D22" t="s">
        <v>121</v>
      </c>
      <c r="E22">
        <v>3.7469149E-2</v>
      </c>
      <c r="F22">
        <v>3.8868666000000003E-2</v>
      </c>
      <c r="G22">
        <v>4.2183876000000002E-2</v>
      </c>
      <c r="H22">
        <v>4.6749829999999999E-2</v>
      </c>
      <c r="I22">
        <v>4.9736738000000003E-2</v>
      </c>
      <c r="J22">
        <v>5.1684976000000001E-2</v>
      </c>
      <c r="K22">
        <v>5.3009272000000003E-2</v>
      </c>
      <c r="L22">
        <v>2.612123E-3</v>
      </c>
      <c r="M22">
        <v>6.3101759999999998E-3</v>
      </c>
      <c r="N22">
        <v>9.6486260000000004E-3</v>
      </c>
      <c r="O22">
        <v>1.3846114E-2</v>
      </c>
      <c r="P22">
        <v>1.7308196000000001E-2</v>
      </c>
      <c r="Q22">
        <v>2.0172524000000001E-2</v>
      </c>
      <c r="R22">
        <v>2.2844481E-2</v>
      </c>
      <c r="S22">
        <v>7.3640974999999997E-2</v>
      </c>
      <c r="T22">
        <v>7.2411878999999998E-2</v>
      </c>
      <c r="U22">
        <v>7.6340754999999996E-2</v>
      </c>
      <c r="V22">
        <v>8.0500897000000002E-2</v>
      </c>
      <c r="W22">
        <v>8.2672229E-2</v>
      </c>
      <c r="X22">
        <v>8.3949817999999995E-2</v>
      </c>
      <c r="Y22">
        <v>8.3924903999999995E-2</v>
      </c>
      <c r="Z22">
        <v>1.3846494000000001E-2</v>
      </c>
      <c r="AA22">
        <v>1.462517E-2</v>
      </c>
      <c r="AB22">
        <v>1.543986E-2</v>
      </c>
      <c r="AC22">
        <v>1.7804872999999999E-2</v>
      </c>
      <c r="AD22">
        <v>2.1828072E-2</v>
      </c>
      <c r="AE22">
        <v>2.3197532E-2</v>
      </c>
      <c r="AF22">
        <v>2.5330998E-2</v>
      </c>
      <c r="AG22">
        <v>6.1642428999999999E-2</v>
      </c>
      <c r="AH22">
        <v>6.3691287999999999E-2</v>
      </c>
      <c r="AI22">
        <v>6.9632085999999996E-2</v>
      </c>
      <c r="AJ22">
        <v>7.6517790000000002E-2</v>
      </c>
      <c r="AK22">
        <v>7.8407813000000007E-2</v>
      </c>
      <c r="AL22">
        <v>8.0965666000000006E-2</v>
      </c>
      <c r="AM22">
        <v>8.1434752999999999E-2</v>
      </c>
      <c r="AN22">
        <v>8.5470008E-2</v>
      </c>
      <c r="AO22">
        <v>0.42543811999999998</v>
      </c>
      <c r="AP22">
        <v>0.46322206500000002</v>
      </c>
    </row>
    <row r="23" spans="1:42" x14ac:dyDescent="0.2">
      <c r="A23" t="s">
        <v>138</v>
      </c>
      <c r="B23" t="s">
        <v>112</v>
      </c>
      <c r="C23" t="s">
        <v>358</v>
      </c>
      <c r="D23" t="s">
        <v>146</v>
      </c>
      <c r="E23">
        <v>4.1760325000000001E-2</v>
      </c>
      <c r="F23">
        <v>4.2491078000000002E-2</v>
      </c>
      <c r="G23">
        <v>4.4191359999999999E-2</v>
      </c>
      <c r="H23">
        <v>4.6456337E-2</v>
      </c>
      <c r="I23">
        <v>4.7872185999999997E-2</v>
      </c>
      <c r="J23">
        <v>4.8755050000000001E-2</v>
      </c>
      <c r="K23">
        <v>4.9331783999999997E-2</v>
      </c>
      <c r="L23">
        <v>1.715334E-2</v>
      </c>
      <c r="M23">
        <v>1.9236261000000001E-2</v>
      </c>
      <c r="N23">
        <v>2.1260468000000001E-2</v>
      </c>
      <c r="O23">
        <v>2.3249183999999999E-2</v>
      </c>
      <c r="P23">
        <v>2.4963217999999999E-2</v>
      </c>
      <c r="Q23">
        <v>2.6602661999999999E-2</v>
      </c>
      <c r="R23">
        <v>2.7800977000000001E-2</v>
      </c>
      <c r="S23">
        <v>6.7275653000000005E-2</v>
      </c>
      <c r="T23">
        <v>6.5938877000000007E-2</v>
      </c>
      <c r="U23">
        <v>6.7512715000000001E-2</v>
      </c>
      <c r="V23">
        <v>7.0002913E-2</v>
      </c>
      <c r="W23">
        <v>7.1499787999999995E-2</v>
      </c>
      <c r="X23">
        <v>7.1505229000000003E-2</v>
      </c>
      <c r="Y23">
        <v>7.1364087000000007E-2</v>
      </c>
      <c r="Z23">
        <v>2.6715882E-2</v>
      </c>
      <c r="AA23">
        <v>2.6741846999999999E-2</v>
      </c>
      <c r="AB23">
        <v>2.6291722E-2</v>
      </c>
      <c r="AC23">
        <v>2.5344708000000001E-2</v>
      </c>
      <c r="AD23">
        <v>2.6318166E-2</v>
      </c>
      <c r="AE23">
        <v>2.8044228000000001E-2</v>
      </c>
      <c r="AF23">
        <v>2.9098679999999998E-2</v>
      </c>
      <c r="AG23">
        <v>5.7025148999999997E-2</v>
      </c>
      <c r="AH23">
        <v>5.8481777999999998E-2</v>
      </c>
      <c r="AI23">
        <v>6.2402997000000002E-2</v>
      </c>
      <c r="AJ23">
        <v>6.8002742000000005E-2</v>
      </c>
      <c r="AK23">
        <v>6.9878659999999995E-2</v>
      </c>
      <c r="AL23">
        <v>6.9883021000000003E-2</v>
      </c>
      <c r="AM23">
        <v>6.9962847999999994E-2</v>
      </c>
      <c r="AN23">
        <v>6.2561890999999994E-2</v>
      </c>
      <c r="AO23">
        <v>0.13322489100000001</v>
      </c>
      <c r="AP23">
        <v>0.63505899899999996</v>
      </c>
    </row>
    <row r="24" spans="1:42" x14ac:dyDescent="0.2">
      <c r="A24" t="s">
        <v>138</v>
      </c>
      <c r="B24" t="s">
        <v>112</v>
      </c>
      <c r="C24" t="s">
        <v>365</v>
      </c>
      <c r="D24" t="s">
        <v>145</v>
      </c>
      <c r="E24">
        <v>4.4129491E-2</v>
      </c>
      <c r="F24">
        <v>4.3716073000000001E-2</v>
      </c>
      <c r="G24">
        <v>4.2661309000000001E-2</v>
      </c>
      <c r="H24">
        <v>4.1022061999999998E-2</v>
      </c>
      <c r="I24">
        <v>3.9785028E-2</v>
      </c>
      <c r="J24">
        <v>3.8876175999999998E-2</v>
      </c>
      <c r="K24">
        <v>3.8198828999999997E-2</v>
      </c>
      <c r="L24">
        <v>2.5060277999999998E-2</v>
      </c>
      <c r="M24">
        <v>2.6266571999999998E-2</v>
      </c>
      <c r="N24">
        <v>2.4905071000000001E-2</v>
      </c>
      <c r="O24">
        <v>2.2984070999999998E-2</v>
      </c>
      <c r="P24">
        <v>2.1417512E-2</v>
      </c>
      <c r="Q24">
        <v>2.0969926999999999E-2</v>
      </c>
      <c r="R24">
        <v>2.0968384E-2</v>
      </c>
      <c r="S24">
        <v>6.3555952999999998E-2</v>
      </c>
      <c r="T24">
        <v>6.1511965000000002E-2</v>
      </c>
      <c r="U24">
        <v>6.0264823000000002E-2</v>
      </c>
      <c r="V24">
        <v>5.9469875999999998E-2</v>
      </c>
      <c r="W24">
        <v>5.8251529000000003E-2</v>
      </c>
      <c r="X24">
        <v>5.6946627E-2</v>
      </c>
      <c r="Y24">
        <v>5.5567988999999998E-2</v>
      </c>
      <c r="Z24">
        <v>3.4359076000000002E-2</v>
      </c>
      <c r="AA24">
        <v>3.3096924999999999E-2</v>
      </c>
      <c r="AB24">
        <v>2.9628137999999998E-2</v>
      </c>
      <c r="AC24">
        <v>2.5203326000000002E-2</v>
      </c>
      <c r="AD24">
        <v>2.292721E-2</v>
      </c>
      <c r="AE24">
        <v>2.1856475E-2</v>
      </c>
      <c r="AF24">
        <v>2.1825798E-2</v>
      </c>
      <c r="AG24">
        <v>5.3992150000000003E-2</v>
      </c>
      <c r="AH24">
        <v>5.4444433E-2</v>
      </c>
      <c r="AI24">
        <v>5.5859631999999999E-2</v>
      </c>
      <c r="AJ24">
        <v>5.7084916999999999E-2</v>
      </c>
      <c r="AK24">
        <v>5.6920856999999998E-2</v>
      </c>
      <c r="AL24">
        <v>5.6179200999999998E-2</v>
      </c>
      <c r="AM24">
        <v>5.4834204999999997E-2</v>
      </c>
      <c r="AN24">
        <v>5.2459008000000001E-2</v>
      </c>
      <c r="AO24">
        <v>0.56546717899999999</v>
      </c>
      <c r="AP24">
        <v>0.13212676200000001</v>
      </c>
    </row>
    <row r="25" spans="1:42" x14ac:dyDescent="0.2">
      <c r="A25" t="s">
        <v>138</v>
      </c>
      <c r="B25" t="s">
        <v>112</v>
      </c>
      <c r="C25" t="s">
        <v>116</v>
      </c>
      <c r="D25" t="s">
        <v>115</v>
      </c>
      <c r="E25">
        <v>5.3797245E-2</v>
      </c>
      <c r="F25">
        <v>5.3522109999999998E-2</v>
      </c>
      <c r="G25">
        <v>5.2799343999999998E-2</v>
      </c>
      <c r="H25">
        <v>5.1627754999999997E-2</v>
      </c>
      <c r="I25">
        <v>5.0706505999999998E-2</v>
      </c>
      <c r="J25">
        <v>5.0009607999999997E-2</v>
      </c>
      <c r="K25">
        <v>4.9480200000000002E-2</v>
      </c>
      <c r="L25">
        <v>2.1839295000000002E-2</v>
      </c>
      <c r="M25">
        <v>2.5285259000000001E-2</v>
      </c>
      <c r="N25">
        <v>2.7367408999999999E-2</v>
      </c>
      <c r="O25">
        <v>2.7098404999999999E-2</v>
      </c>
      <c r="P25">
        <v>2.7124859000000001E-2</v>
      </c>
      <c r="Q25">
        <v>2.7367613999999998E-2</v>
      </c>
      <c r="R25">
        <v>2.8029453999999999E-2</v>
      </c>
      <c r="S25">
        <v>8.6487518999999999E-2</v>
      </c>
      <c r="T25">
        <v>8.2508268999999995E-2</v>
      </c>
      <c r="U25">
        <v>7.9036708999999997E-2</v>
      </c>
      <c r="V25">
        <v>7.6817181999999998E-2</v>
      </c>
      <c r="W25">
        <v>7.4590012999999997E-2</v>
      </c>
      <c r="X25">
        <v>7.3111298000000005E-2</v>
      </c>
      <c r="Y25">
        <v>7.1252765999999995E-2</v>
      </c>
      <c r="Z25">
        <v>3.9785358999999999E-2</v>
      </c>
      <c r="AA25">
        <v>3.9781088999999999E-2</v>
      </c>
      <c r="AB25">
        <v>3.7487068999999998E-2</v>
      </c>
      <c r="AC25">
        <v>3.3570671000000003E-2</v>
      </c>
      <c r="AD25">
        <v>3.2736717999999998E-2</v>
      </c>
      <c r="AE25">
        <v>3.1909739999999999E-2</v>
      </c>
      <c r="AF25">
        <v>3.175617E-2</v>
      </c>
      <c r="AG25">
        <v>6.7997732000000005E-2</v>
      </c>
      <c r="AH25">
        <v>6.7444699999999996E-2</v>
      </c>
      <c r="AI25">
        <v>6.8337634999999994E-2</v>
      </c>
      <c r="AJ25">
        <v>7.0000350000000003E-2</v>
      </c>
      <c r="AK25">
        <v>6.8988993999999998E-2</v>
      </c>
      <c r="AL25">
        <v>6.8427021000000005E-2</v>
      </c>
      <c r="AM25">
        <v>6.7508810000000002E-2</v>
      </c>
      <c r="AN25">
        <v>9.1510709999999995E-2</v>
      </c>
      <c r="AO25">
        <v>0.32206488999999999</v>
      </c>
      <c r="AP25">
        <v>0.49491371699999998</v>
      </c>
    </row>
    <row r="26" spans="1:42" x14ac:dyDescent="0.2">
      <c r="A26" t="s">
        <v>138</v>
      </c>
      <c r="B26" t="s">
        <v>112</v>
      </c>
      <c r="C26" t="s">
        <v>366</v>
      </c>
      <c r="D26" t="s">
        <v>154</v>
      </c>
      <c r="E26">
        <v>3.8938999000000002E-2</v>
      </c>
      <c r="F26">
        <v>3.8689732999999997E-2</v>
      </c>
      <c r="G26">
        <v>3.8029790000000001E-2</v>
      </c>
      <c r="H26">
        <v>3.6949039000000003E-2</v>
      </c>
      <c r="I26">
        <v>3.6091208E-2</v>
      </c>
      <c r="J26">
        <v>3.543818E-2</v>
      </c>
      <c r="K26">
        <v>3.4940003999999997E-2</v>
      </c>
      <c r="L26">
        <v>3.8851614999999999E-2</v>
      </c>
      <c r="M26">
        <v>3.6323242999999998E-2</v>
      </c>
      <c r="N26">
        <v>3.2518577E-2</v>
      </c>
      <c r="O26">
        <v>2.8519587999999998E-2</v>
      </c>
      <c r="P26">
        <v>2.6496399E-2</v>
      </c>
      <c r="Q26">
        <v>2.5338111999999999E-2</v>
      </c>
      <c r="R26">
        <v>2.5023864E-2</v>
      </c>
      <c r="S26">
        <v>3.9026391000000001E-2</v>
      </c>
      <c r="T26">
        <v>4.1061597999999998E-2</v>
      </c>
      <c r="U26">
        <v>4.3570390000000001E-2</v>
      </c>
      <c r="V26">
        <v>4.5447695000000003E-2</v>
      </c>
      <c r="W26">
        <v>4.5775765000000003E-2</v>
      </c>
      <c r="X26">
        <v>4.5637746999999999E-2</v>
      </c>
      <c r="Y26">
        <v>4.4952117E-2</v>
      </c>
      <c r="Z26">
        <v>3.8850742000000001E-2</v>
      </c>
      <c r="AA26">
        <v>3.6272723E-2</v>
      </c>
      <c r="AB26">
        <v>3.2601194E-2</v>
      </c>
      <c r="AC26">
        <v>2.8080316000000001E-2</v>
      </c>
      <c r="AD26">
        <v>2.6093587000000001E-2</v>
      </c>
      <c r="AE26">
        <v>2.5227481999999999E-2</v>
      </c>
      <c r="AF26">
        <v>2.5099686E-2</v>
      </c>
      <c r="AG26">
        <v>3.9027264999999998E-2</v>
      </c>
      <c r="AH26">
        <v>4.1112352999999997E-2</v>
      </c>
      <c r="AI26">
        <v>4.3486898000000003E-2</v>
      </c>
      <c r="AJ26">
        <v>4.5894382999999997E-2</v>
      </c>
      <c r="AK26">
        <v>4.61863E-2</v>
      </c>
      <c r="AL26">
        <v>4.5750583999999997E-2</v>
      </c>
      <c r="AM26">
        <v>4.4874829999999997E-2</v>
      </c>
      <c r="AN26">
        <v>0</v>
      </c>
      <c r="AO26">
        <v>0</v>
      </c>
      <c r="AP26">
        <v>0</v>
      </c>
    </row>
    <row r="27" spans="1:42" x14ac:dyDescent="0.2">
      <c r="A27" t="s">
        <v>138</v>
      </c>
      <c r="B27" t="s">
        <v>112</v>
      </c>
      <c r="C27" t="s">
        <v>367</v>
      </c>
      <c r="D27" t="s">
        <v>144</v>
      </c>
      <c r="E27">
        <v>4.9165845E-2</v>
      </c>
      <c r="F27">
        <v>4.8725723999999998E-2</v>
      </c>
      <c r="G27">
        <v>4.7606706999999998E-2</v>
      </c>
      <c r="H27">
        <v>4.5875669000000001E-2</v>
      </c>
      <c r="I27">
        <v>4.4576167999999999E-2</v>
      </c>
      <c r="J27">
        <v>4.362452E-2</v>
      </c>
      <c r="K27">
        <v>4.2917252000000003E-2</v>
      </c>
      <c r="L27">
        <v>3.8039712000000003E-2</v>
      </c>
      <c r="M27">
        <v>3.8630586000000001E-2</v>
      </c>
      <c r="N27">
        <v>3.6888427000000001E-2</v>
      </c>
      <c r="O27">
        <v>3.3597767000000001E-2</v>
      </c>
      <c r="P27">
        <v>3.1587443E-2</v>
      </c>
      <c r="Q27">
        <v>3.0779318999999999E-2</v>
      </c>
      <c r="R27">
        <v>3.0215246000000001E-2</v>
      </c>
      <c r="S27">
        <v>6.0189786000000002E-2</v>
      </c>
      <c r="T27">
        <v>5.8946078999999998E-2</v>
      </c>
      <c r="U27">
        <v>5.8430822E-2</v>
      </c>
      <c r="V27">
        <v>5.8245181E-2</v>
      </c>
      <c r="W27">
        <v>5.76534E-2</v>
      </c>
      <c r="X27">
        <v>5.6700329000000001E-2</v>
      </c>
      <c r="Y27">
        <v>5.5731140999999998E-2</v>
      </c>
      <c r="Z27">
        <v>4.4291891E-2</v>
      </c>
      <c r="AA27">
        <v>4.3166809E-2</v>
      </c>
      <c r="AB27">
        <v>3.965047E-2</v>
      </c>
      <c r="AC27">
        <v>3.4526302000000002E-2</v>
      </c>
      <c r="AD27">
        <v>3.1781379999999998E-2</v>
      </c>
      <c r="AE27">
        <v>3.1315263000000003E-2</v>
      </c>
      <c r="AF27">
        <v>3.1050548000000001E-2</v>
      </c>
      <c r="AG27">
        <v>5.4062472E-2</v>
      </c>
      <c r="AH27">
        <v>5.4314381000000002E-2</v>
      </c>
      <c r="AI27">
        <v>5.5623846999999997E-2</v>
      </c>
      <c r="AJ27">
        <v>5.7349737999999997E-2</v>
      </c>
      <c r="AK27">
        <v>5.7529575999999999E-2</v>
      </c>
      <c r="AL27">
        <v>5.6080708999999999E-2</v>
      </c>
      <c r="AM27">
        <v>5.4920599000000001E-2</v>
      </c>
      <c r="AN27">
        <v>3.1485302999999999E-2</v>
      </c>
      <c r="AO27">
        <v>1</v>
      </c>
      <c r="AP27">
        <v>-7.5440752999999999E-2</v>
      </c>
    </row>
    <row r="28" spans="1:42" x14ac:dyDescent="0.2">
      <c r="A28" t="s">
        <v>138</v>
      </c>
      <c r="B28" t="s">
        <v>112</v>
      </c>
      <c r="C28" t="s">
        <v>381</v>
      </c>
      <c r="D28" t="s">
        <v>165</v>
      </c>
      <c r="E28">
        <v>4.1997552E-2</v>
      </c>
      <c r="F28">
        <v>4.2031645999999999E-2</v>
      </c>
      <c r="G28">
        <v>4.2052984000000002E-2</v>
      </c>
      <c r="H28">
        <v>4.1935802000000001E-2</v>
      </c>
      <c r="I28">
        <v>4.1731358000000003E-2</v>
      </c>
      <c r="J28">
        <v>4.1518806999999998E-2</v>
      </c>
      <c r="K28">
        <v>4.1328668999999998E-2</v>
      </c>
      <c r="L28">
        <v>3.04491E-2</v>
      </c>
      <c r="M28">
        <v>3.1757471000000002E-2</v>
      </c>
      <c r="N28">
        <v>3.1399971999999998E-2</v>
      </c>
      <c r="O28">
        <v>3.0098434E-2</v>
      </c>
      <c r="P28">
        <v>2.9668534E-2</v>
      </c>
      <c r="Q28">
        <v>2.9560309999999999E-2</v>
      </c>
      <c r="R28">
        <v>2.9392498999999999E-2</v>
      </c>
      <c r="S28">
        <v>5.3723667000000003E-2</v>
      </c>
      <c r="T28">
        <v>5.2481626000000003E-2</v>
      </c>
      <c r="U28">
        <v>5.2746270999999997E-2</v>
      </c>
      <c r="V28">
        <v>5.3654121999999999E-2</v>
      </c>
      <c r="W28">
        <v>5.3978078999999998E-2</v>
      </c>
      <c r="X28">
        <v>5.3847381E-2</v>
      </c>
      <c r="Y28">
        <v>5.3551333999999999E-2</v>
      </c>
      <c r="Z28">
        <v>3.8040706000000001E-2</v>
      </c>
      <c r="AA28">
        <v>3.7318957E-2</v>
      </c>
      <c r="AB28">
        <v>3.4802355E-2</v>
      </c>
      <c r="AC28">
        <v>3.2380809000000003E-2</v>
      </c>
      <c r="AD28">
        <v>3.0719752999999999E-2</v>
      </c>
      <c r="AE28">
        <v>3.0506479999999999E-2</v>
      </c>
      <c r="AF28">
        <v>3.0532004000000001E-2</v>
      </c>
      <c r="AG28">
        <v>4.5969682999999997E-2</v>
      </c>
      <c r="AH28">
        <v>4.6765722000000003E-2</v>
      </c>
      <c r="AI28">
        <v>4.9354387999999999E-2</v>
      </c>
      <c r="AJ28">
        <v>5.1579370999999999E-2</v>
      </c>
      <c r="AK28">
        <v>5.2860424000000003E-2</v>
      </c>
      <c r="AL28">
        <v>5.2648817000000001E-2</v>
      </c>
      <c r="AM28">
        <v>5.2238406000000001E-2</v>
      </c>
      <c r="AN28">
        <v>3.5717971000000001E-2</v>
      </c>
      <c r="AO28">
        <v>0.90830745899999998</v>
      </c>
      <c r="AP28">
        <v>-8.4260829999999991E-3</v>
      </c>
    </row>
    <row r="29" spans="1:42" x14ac:dyDescent="0.2">
      <c r="A29" t="s">
        <v>138</v>
      </c>
      <c r="B29" t="s">
        <v>112</v>
      </c>
      <c r="C29" t="s">
        <v>335</v>
      </c>
      <c r="D29" t="s">
        <v>153</v>
      </c>
      <c r="E29">
        <v>6.3053250000000005E-2</v>
      </c>
      <c r="F29">
        <v>6.2397241999999999E-2</v>
      </c>
      <c r="G29">
        <v>6.0758352000000002E-2</v>
      </c>
      <c r="H29">
        <v>5.8291554000000002E-2</v>
      </c>
      <c r="I29">
        <v>5.6492448000000001E-2</v>
      </c>
      <c r="J29">
        <v>5.5203319000000001E-2</v>
      </c>
      <c r="K29">
        <v>5.4259658000000002E-2</v>
      </c>
      <c r="L29">
        <v>2.5072285E-2</v>
      </c>
      <c r="M29">
        <v>2.7021363999999999E-2</v>
      </c>
      <c r="N29">
        <v>2.7068780000000001E-2</v>
      </c>
      <c r="O29">
        <v>2.5263428000000001E-2</v>
      </c>
      <c r="P29">
        <v>2.5185336999999999E-2</v>
      </c>
      <c r="Q29">
        <v>2.5420089999999999E-2</v>
      </c>
      <c r="R29">
        <v>2.5559631999999999E-2</v>
      </c>
      <c r="S29">
        <v>0.102369481</v>
      </c>
      <c r="T29">
        <v>9.8678152000000005E-2</v>
      </c>
      <c r="U29">
        <v>9.5971679000000004E-2</v>
      </c>
      <c r="V29">
        <v>9.1890422999999999E-2</v>
      </c>
      <c r="W29">
        <v>8.9233502000000006E-2</v>
      </c>
      <c r="X29">
        <v>8.6464092000000006E-2</v>
      </c>
      <c r="Y29">
        <v>8.4051326999999995E-2</v>
      </c>
      <c r="Z29">
        <v>3.3364237999999997E-2</v>
      </c>
      <c r="AA29">
        <v>3.4220173E-2</v>
      </c>
      <c r="AB29">
        <v>3.044523E-2</v>
      </c>
      <c r="AC29">
        <v>2.6251533000000001E-2</v>
      </c>
      <c r="AD29">
        <v>2.4314437000000001E-2</v>
      </c>
      <c r="AE29">
        <v>2.5427762999999999E-2</v>
      </c>
      <c r="AF29">
        <v>2.6133832999999999E-2</v>
      </c>
      <c r="AG29">
        <v>9.3595269999999994E-2</v>
      </c>
      <c r="AH29">
        <v>9.1341931000000001E-2</v>
      </c>
      <c r="AI29">
        <v>9.1963218999999999E-2</v>
      </c>
      <c r="AJ29">
        <v>9.1332121000000002E-2</v>
      </c>
      <c r="AK29">
        <v>8.9681364E-2</v>
      </c>
      <c r="AL29">
        <v>8.5843404999999998E-2</v>
      </c>
      <c r="AM29">
        <v>8.3156415999999997E-2</v>
      </c>
      <c r="AN29">
        <v>7.9882945999999996E-2</v>
      </c>
      <c r="AO29">
        <v>-0.144639458</v>
      </c>
      <c r="AP29">
        <v>0.59915287900000003</v>
      </c>
    </row>
    <row r="30" spans="1:42" x14ac:dyDescent="0.2">
      <c r="A30" t="s">
        <v>138</v>
      </c>
      <c r="B30" t="s">
        <v>112</v>
      </c>
      <c r="C30" t="s">
        <v>215</v>
      </c>
      <c r="D30" t="s">
        <v>143</v>
      </c>
      <c r="E30">
        <v>2.5599599000000001E-2</v>
      </c>
      <c r="F30">
        <v>2.6965261000000001E-2</v>
      </c>
      <c r="G30">
        <v>3.0199765999999999E-2</v>
      </c>
      <c r="H30">
        <v>3.4652471999999997E-2</v>
      </c>
      <c r="I30">
        <v>3.7563562000000002E-2</v>
      </c>
      <c r="J30">
        <v>3.9461136000000001E-2</v>
      </c>
      <c r="K30">
        <v>4.0750504E-2</v>
      </c>
      <c r="L30">
        <v>-5.2081380000000002E-3</v>
      </c>
      <c r="M30">
        <v>-5.4273099999999996E-4</v>
      </c>
      <c r="N30">
        <v>4.7427789999999999E-3</v>
      </c>
      <c r="O30">
        <v>1.0664122999999999E-2</v>
      </c>
      <c r="P30">
        <v>1.4935327999999999E-2</v>
      </c>
      <c r="Q30">
        <v>1.7740678999999999E-2</v>
      </c>
      <c r="R30">
        <v>2.0181826E-2</v>
      </c>
      <c r="S30">
        <v>5.7400987000000001E-2</v>
      </c>
      <c r="T30">
        <v>5.5439044999999999E-2</v>
      </c>
      <c r="U30">
        <v>5.6334062999999997E-2</v>
      </c>
      <c r="V30">
        <v>5.9229262999999997E-2</v>
      </c>
      <c r="W30">
        <v>6.0701445999999999E-2</v>
      </c>
      <c r="X30">
        <v>6.1421516000000002E-2</v>
      </c>
      <c r="Y30">
        <v>6.1863533999999998E-2</v>
      </c>
      <c r="Z30">
        <v>9.7555430000000002E-3</v>
      </c>
      <c r="AA30">
        <v>1.0658261E-2</v>
      </c>
      <c r="AB30">
        <v>1.3170164999999999E-2</v>
      </c>
      <c r="AC30">
        <v>1.6732222000000001E-2</v>
      </c>
      <c r="AD30">
        <v>1.8931238999999999E-2</v>
      </c>
      <c r="AE30">
        <v>2.0870455E-2</v>
      </c>
      <c r="AF30">
        <v>2.3836744E-2</v>
      </c>
      <c r="AG30">
        <v>4.1692378000000002E-2</v>
      </c>
      <c r="AH30">
        <v>4.353543E-2</v>
      </c>
      <c r="AI30">
        <v>4.7515626999999998E-2</v>
      </c>
      <c r="AJ30">
        <v>5.2888540999999997E-2</v>
      </c>
      <c r="AK30">
        <v>5.6536652E-2</v>
      </c>
      <c r="AL30">
        <v>5.8390481000000001E-2</v>
      </c>
      <c r="AM30">
        <v>5.794349E-2</v>
      </c>
      <c r="AN30">
        <v>8.7700625000000004E-2</v>
      </c>
      <c r="AO30">
        <v>0.257591827</v>
      </c>
      <c r="AP30">
        <v>0.18280381800000001</v>
      </c>
    </row>
    <row r="31" spans="1:42" x14ac:dyDescent="0.2">
      <c r="A31" t="s">
        <v>138</v>
      </c>
      <c r="B31" t="s">
        <v>102</v>
      </c>
      <c r="C31" t="s">
        <v>141</v>
      </c>
      <c r="D31" t="s">
        <v>140</v>
      </c>
      <c r="E31">
        <v>8.1136006999999996E-2</v>
      </c>
      <c r="F31">
        <v>8.0373783000000004E-2</v>
      </c>
      <c r="G31">
        <v>7.8479785999999996E-2</v>
      </c>
      <c r="H31">
        <v>7.5653690999999995E-2</v>
      </c>
      <c r="I31">
        <v>7.3611635999999994E-2</v>
      </c>
      <c r="J31">
        <v>7.2159071000000005E-2</v>
      </c>
      <c r="K31">
        <v>7.1101565000000005E-2</v>
      </c>
      <c r="L31">
        <v>4.7404872000000001E-2</v>
      </c>
      <c r="M31">
        <v>4.6943711999999999E-2</v>
      </c>
      <c r="N31">
        <v>4.0521438999999999E-2</v>
      </c>
      <c r="O31">
        <v>3.2900547000000002E-2</v>
      </c>
      <c r="P31">
        <v>3.0411857E-2</v>
      </c>
      <c r="Q31">
        <v>2.9588013E-2</v>
      </c>
      <c r="R31">
        <v>2.9718772000000001E-2</v>
      </c>
      <c r="S31">
        <v>0.11601438</v>
      </c>
      <c r="T31">
        <v>0.11478922799999999</v>
      </c>
      <c r="U31">
        <v>0.11823210200000001</v>
      </c>
      <c r="V31">
        <v>0.119312662</v>
      </c>
      <c r="W31">
        <v>0.118747805</v>
      </c>
      <c r="X31">
        <v>0.116280444</v>
      </c>
      <c r="Y31">
        <v>0.113880488</v>
      </c>
      <c r="Z31">
        <v>5.7132769999999999E-2</v>
      </c>
      <c r="AA31">
        <v>5.3616891E-2</v>
      </c>
      <c r="AB31">
        <v>4.3981494000000003E-2</v>
      </c>
      <c r="AC31">
        <v>3.7998958999999999E-2</v>
      </c>
      <c r="AD31">
        <v>3.3623200999999998E-2</v>
      </c>
      <c r="AE31">
        <v>3.2019261E-2</v>
      </c>
      <c r="AF31">
        <v>3.2953469999999999E-2</v>
      </c>
      <c r="AG31">
        <v>0.10569479</v>
      </c>
      <c r="AH31">
        <v>0.10782314</v>
      </c>
      <c r="AI31">
        <v>0.114140323</v>
      </c>
      <c r="AJ31">
        <v>0.11470115</v>
      </c>
      <c r="AK31">
        <v>0.115177711</v>
      </c>
      <c r="AL31">
        <v>0.113891091</v>
      </c>
      <c r="AM31">
        <v>0.11068628899999999</v>
      </c>
      <c r="AN31">
        <v>7.3943766999999994E-2</v>
      </c>
      <c r="AO31">
        <v>-4.3423867999999997E-2</v>
      </c>
      <c r="AP31">
        <v>0.55677657899999999</v>
      </c>
    </row>
    <row r="32" spans="1:42" x14ac:dyDescent="0.2">
      <c r="A32" t="s">
        <v>138</v>
      </c>
      <c r="B32" t="s">
        <v>102</v>
      </c>
      <c r="C32" t="s">
        <v>368</v>
      </c>
      <c r="D32" t="s">
        <v>142</v>
      </c>
      <c r="E32">
        <v>8.4631819999999996E-2</v>
      </c>
      <c r="F32">
        <v>8.5899611000000001E-2</v>
      </c>
      <c r="G32">
        <v>8.8896414000000007E-2</v>
      </c>
      <c r="H32">
        <v>9.3006511E-2</v>
      </c>
      <c r="I32">
        <v>9.5680375999999998E-2</v>
      </c>
      <c r="J32">
        <v>9.7415229000000006E-2</v>
      </c>
      <c r="K32">
        <v>9.8589202000000001E-2</v>
      </c>
      <c r="L32">
        <v>-5.3569694000000001E-2</v>
      </c>
      <c r="M32">
        <v>-4.5726901E-2</v>
      </c>
      <c r="N32">
        <v>-4.3920046999999997E-2</v>
      </c>
      <c r="O32">
        <v>-4.2743442999999999E-2</v>
      </c>
      <c r="P32">
        <v>-3.7176470000000003E-2</v>
      </c>
      <c r="Q32">
        <v>-2.6469402999999999E-2</v>
      </c>
      <c r="R32">
        <v>-2.0756924999999999E-2</v>
      </c>
      <c r="S32">
        <v>0.24508954899999999</v>
      </c>
      <c r="T32">
        <v>0.235919359</v>
      </c>
      <c r="U32">
        <v>0.24233158899999999</v>
      </c>
      <c r="V32">
        <v>0.251171266</v>
      </c>
      <c r="W32">
        <v>0.244891468</v>
      </c>
      <c r="X32">
        <v>0.23802859000000001</v>
      </c>
      <c r="Y32">
        <v>0.23312524100000001</v>
      </c>
      <c r="Z32">
        <v>-2.1412269000000001E-2</v>
      </c>
      <c r="AA32">
        <v>-1.8384227E-2</v>
      </c>
      <c r="AB32">
        <v>-2.6185159E-2</v>
      </c>
      <c r="AC32">
        <v>-2.9119573999999999E-2</v>
      </c>
      <c r="AD32">
        <v>-2.7551354E-2</v>
      </c>
      <c r="AE32">
        <v>-2.4409394000000001E-2</v>
      </c>
      <c r="AF32">
        <v>-1.8198141000000001E-2</v>
      </c>
      <c r="AG32">
        <v>0.20260360099999999</v>
      </c>
      <c r="AH32">
        <v>0.201681795</v>
      </c>
      <c r="AI32">
        <v>0.21809711000000001</v>
      </c>
      <c r="AJ32">
        <v>0.231082859</v>
      </c>
      <c r="AK32">
        <v>0.23512525500000001</v>
      </c>
      <c r="AL32">
        <v>0.235031937</v>
      </c>
      <c r="AM32">
        <v>0.229794573</v>
      </c>
      <c r="AN32">
        <v>0.319711574</v>
      </c>
      <c r="AO32">
        <v>-2.3258154999999999E-2</v>
      </c>
      <c r="AP32">
        <v>0.75360974300000005</v>
      </c>
    </row>
    <row r="33" spans="1:42" x14ac:dyDescent="0.2">
      <c r="A33" t="s">
        <v>138</v>
      </c>
      <c r="B33" t="s">
        <v>102</v>
      </c>
      <c r="C33" t="s">
        <v>106</v>
      </c>
      <c r="D33" t="s">
        <v>105</v>
      </c>
      <c r="E33">
        <v>9.1362155E-2</v>
      </c>
      <c r="F33">
        <v>9.2077171999999999E-2</v>
      </c>
      <c r="G33">
        <v>9.3738234000000004E-2</v>
      </c>
      <c r="H33">
        <v>9.5944320999999999E-2</v>
      </c>
      <c r="I33">
        <v>9.7317135999999999E-2</v>
      </c>
      <c r="J33">
        <v>9.8169600999999995E-2</v>
      </c>
      <c r="K33">
        <v>9.8724043999999997E-2</v>
      </c>
      <c r="L33">
        <v>5.0762760000000002E-3</v>
      </c>
      <c r="M33">
        <v>8.9678620000000001E-3</v>
      </c>
      <c r="N33">
        <v>9.1456239999999998E-3</v>
      </c>
      <c r="O33">
        <v>7.9866680000000006E-3</v>
      </c>
      <c r="P33">
        <v>1.1751314000000001E-2</v>
      </c>
      <c r="Q33">
        <v>1.5695077000000002E-2</v>
      </c>
      <c r="R33">
        <v>2.0010947000000001E-2</v>
      </c>
      <c r="S33">
        <v>0.18573578700000001</v>
      </c>
      <c r="T33">
        <v>0.182973944</v>
      </c>
      <c r="U33">
        <v>0.186540709</v>
      </c>
      <c r="V33">
        <v>0.19293465200000001</v>
      </c>
      <c r="W33">
        <v>0.189631194</v>
      </c>
      <c r="X33">
        <v>0.18761634599999999</v>
      </c>
      <c r="Y33">
        <v>0.18315420800000001</v>
      </c>
      <c r="Z33">
        <v>2.9416507000000001E-2</v>
      </c>
      <c r="AA33">
        <v>2.4284066999999999E-2</v>
      </c>
      <c r="AB33">
        <v>1.8126465000000001E-2</v>
      </c>
      <c r="AC33">
        <v>1.2555767000000001E-2</v>
      </c>
      <c r="AD33">
        <v>1.9925907999999999E-2</v>
      </c>
      <c r="AE33">
        <v>2.2999953E-2</v>
      </c>
      <c r="AF33">
        <v>2.4651612999999999E-2</v>
      </c>
      <c r="AG33">
        <v>0.15713888300000001</v>
      </c>
      <c r="AH33">
        <v>0.16448238200000001</v>
      </c>
      <c r="AI33">
        <v>0.175122838</v>
      </c>
      <c r="AJ33">
        <v>0.18639417</v>
      </c>
      <c r="AK33">
        <v>0.18074538400000001</v>
      </c>
      <c r="AL33">
        <v>0.179016801</v>
      </c>
      <c r="AM33">
        <v>0.17830057799999999</v>
      </c>
      <c r="AN33">
        <v>0.19757930700000001</v>
      </c>
      <c r="AO33">
        <v>-1.2322048E-2</v>
      </c>
      <c r="AP33">
        <v>0.74533424000000004</v>
      </c>
    </row>
    <row r="34" spans="1:42" x14ac:dyDescent="0.2">
      <c r="A34" t="s">
        <v>138</v>
      </c>
      <c r="B34" t="s">
        <v>102</v>
      </c>
      <c r="C34" t="s">
        <v>395</v>
      </c>
      <c r="D34" t="s">
        <v>100</v>
      </c>
      <c r="E34">
        <v>4.7123229000000003E-2</v>
      </c>
      <c r="F34">
        <v>4.8461829999999997E-2</v>
      </c>
      <c r="G34">
        <v>5.1630532E-2</v>
      </c>
      <c r="H34">
        <v>5.5987989000000002E-2</v>
      </c>
      <c r="I34">
        <v>5.8832799999999998E-2</v>
      </c>
      <c r="J34">
        <v>6.0684478E-2</v>
      </c>
      <c r="K34">
        <v>6.1941300999999997E-2</v>
      </c>
      <c r="L34">
        <v>1.5043542E-2</v>
      </c>
      <c r="M34">
        <v>1.9937584000000001E-2</v>
      </c>
      <c r="N34">
        <v>2.4988093999999999E-2</v>
      </c>
      <c r="O34">
        <v>2.9780480000000002E-2</v>
      </c>
      <c r="P34">
        <v>3.3686412999999998E-2</v>
      </c>
      <c r="Q34">
        <v>3.6067288000000003E-2</v>
      </c>
      <c r="R34">
        <v>3.8916468000000003E-2</v>
      </c>
      <c r="S34">
        <v>7.9952878000000005E-2</v>
      </c>
      <c r="T34">
        <v>7.7304411000000003E-2</v>
      </c>
      <c r="U34">
        <v>7.9131119999999999E-2</v>
      </c>
      <c r="V34">
        <v>8.3053102000000004E-2</v>
      </c>
      <c r="W34">
        <v>8.4782366999999997E-2</v>
      </c>
      <c r="X34">
        <v>8.5678822000000002E-2</v>
      </c>
      <c r="Y34">
        <v>8.5249092999999998E-2</v>
      </c>
      <c r="Z34">
        <v>3.1226311E-2</v>
      </c>
      <c r="AA34">
        <v>3.1362537000000003E-2</v>
      </c>
      <c r="AB34">
        <v>3.2370512999999997E-2</v>
      </c>
      <c r="AC34">
        <v>3.4470002E-2</v>
      </c>
      <c r="AD34">
        <v>3.7247980999999999E-2</v>
      </c>
      <c r="AE34">
        <v>3.9196885000000001E-2</v>
      </c>
      <c r="AF34">
        <v>4.0692774000000001E-2</v>
      </c>
      <c r="AG34">
        <v>6.3267984999999999E-2</v>
      </c>
      <c r="AH34">
        <v>6.5848043999999994E-2</v>
      </c>
      <c r="AI34">
        <v>7.1254290999999997E-2</v>
      </c>
      <c r="AJ34">
        <v>7.7958896999999999E-2</v>
      </c>
      <c r="AK34">
        <v>8.0871960000000007E-2</v>
      </c>
      <c r="AL34">
        <v>8.2621771999999996E-2</v>
      </c>
      <c r="AM34">
        <v>8.3628692000000004E-2</v>
      </c>
      <c r="AN34">
        <v>9.0647845000000005E-2</v>
      </c>
      <c r="AO34">
        <v>0.20512960799999999</v>
      </c>
      <c r="AP34">
        <v>0.71449569400000001</v>
      </c>
    </row>
    <row r="35" spans="1:42" x14ac:dyDescent="0.2">
      <c r="A35" t="s">
        <v>138</v>
      </c>
      <c r="B35" t="s">
        <v>102</v>
      </c>
      <c r="C35" t="s">
        <v>331</v>
      </c>
      <c r="D35" t="s">
        <v>139</v>
      </c>
      <c r="E35">
        <v>1.207935E-3</v>
      </c>
      <c r="F35">
        <v>4.7468409999999999E-3</v>
      </c>
      <c r="G35">
        <v>1.3258086000000001E-2</v>
      </c>
      <c r="H35">
        <v>2.5294529E-2</v>
      </c>
      <c r="I35">
        <v>3.3430085999999998E-2</v>
      </c>
      <c r="J35">
        <v>3.8890824999999997E-2</v>
      </c>
      <c r="K35">
        <v>4.2690144999999999E-2</v>
      </c>
      <c r="L35">
        <v>-4.2516409999999998E-2</v>
      </c>
      <c r="M35">
        <v>-3.6363903000000003E-2</v>
      </c>
      <c r="N35">
        <v>-2.8398146999999999E-2</v>
      </c>
      <c r="O35">
        <v>-1.7529500999999999E-2</v>
      </c>
      <c r="P35">
        <v>-8.8825840000000007E-3</v>
      </c>
      <c r="Q35">
        <v>-2.2175139999999999E-3</v>
      </c>
      <c r="R35">
        <v>3.407705E-3</v>
      </c>
      <c r="S35">
        <v>4.5732663999999999E-2</v>
      </c>
      <c r="T35">
        <v>4.7308072999999999E-2</v>
      </c>
      <c r="U35">
        <v>5.6308599000000001E-2</v>
      </c>
      <c r="V35">
        <v>7.0324187999999996E-2</v>
      </c>
      <c r="W35">
        <v>7.7410229999999997E-2</v>
      </c>
      <c r="X35">
        <v>8.0559809999999996E-2</v>
      </c>
      <c r="Y35">
        <v>8.2797331000000002E-2</v>
      </c>
      <c r="Z35">
        <v>-2.9045132000000001E-2</v>
      </c>
      <c r="AA35">
        <v>-2.6428970999999999E-2</v>
      </c>
      <c r="AB35">
        <v>-2.1548777000000002E-2</v>
      </c>
      <c r="AC35">
        <v>-1.3546295999999999E-2</v>
      </c>
      <c r="AD35">
        <v>-3.588815E-3</v>
      </c>
      <c r="AE35">
        <v>9.5955499999999996E-4</v>
      </c>
      <c r="AF35">
        <v>6.321681E-3</v>
      </c>
      <c r="AG35">
        <v>3.2412076999999997E-2</v>
      </c>
      <c r="AH35">
        <v>3.6930033000000001E-2</v>
      </c>
      <c r="AI35">
        <v>4.9314051999999997E-2</v>
      </c>
      <c r="AJ35">
        <v>6.5678287000000002E-2</v>
      </c>
      <c r="AK35">
        <v>7.1836535000000007E-2</v>
      </c>
      <c r="AL35">
        <v>7.8271952000000006E-2</v>
      </c>
      <c r="AM35">
        <v>8.0384311E-2</v>
      </c>
      <c r="AN35">
        <v>0.10817866199999999</v>
      </c>
      <c r="AO35">
        <v>0.25071971999999998</v>
      </c>
      <c r="AP35">
        <v>0.625149336</v>
      </c>
    </row>
    <row r="36" spans="1:42" x14ac:dyDescent="0.2">
      <c r="A36" t="s">
        <v>138</v>
      </c>
      <c r="B36" t="s">
        <v>102</v>
      </c>
      <c r="C36" t="s">
        <v>104</v>
      </c>
      <c r="D36" t="s">
        <v>100</v>
      </c>
      <c r="E36">
        <v>9.7572576999999994E-2</v>
      </c>
      <c r="F36">
        <v>9.7200883000000002E-2</v>
      </c>
      <c r="G36">
        <v>9.6244824000000007E-2</v>
      </c>
      <c r="H36">
        <v>9.4741594999999998E-2</v>
      </c>
      <c r="I36">
        <v>9.3594086000000007E-2</v>
      </c>
      <c r="J36">
        <v>9.2743646999999999E-2</v>
      </c>
      <c r="K36">
        <v>9.2106354000000001E-2</v>
      </c>
      <c r="L36">
        <v>4.8626602999999997E-2</v>
      </c>
      <c r="M36">
        <v>5.2722009E-2</v>
      </c>
      <c r="N36">
        <v>5.3754783E-2</v>
      </c>
      <c r="O36">
        <v>5.4136688000000002E-2</v>
      </c>
      <c r="P36">
        <v>5.4516018999999999E-2</v>
      </c>
      <c r="Q36">
        <v>5.5805825000000003E-2</v>
      </c>
      <c r="R36">
        <v>5.6926864000000001E-2</v>
      </c>
      <c r="S36">
        <v>0.14894932499999999</v>
      </c>
      <c r="T36">
        <v>0.14385129099999999</v>
      </c>
      <c r="U36">
        <v>0.13957228199999999</v>
      </c>
      <c r="V36">
        <v>0.13715184699999999</v>
      </c>
      <c r="W36">
        <v>0.134034821</v>
      </c>
      <c r="X36">
        <v>0.13047892899999999</v>
      </c>
      <c r="Y36">
        <v>0.12830356400000001</v>
      </c>
      <c r="Z36">
        <v>6.7385046000000004E-2</v>
      </c>
      <c r="AA36">
        <v>6.6370382000000006E-2</v>
      </c>
      <c r="AB36">
        <v>6.3593566000000004E-2</v>
      </c>
      <c r="AC36">
        <v>5.9045655000000002E-2</v>
      </c>
      <c r="AD36">
        <v>5.7616347999999998E-2</v>
      </c>
      <c r="AE36">
        <v>5.7066975999999998E-2</v>
      </c>
      <c r="AF36">
        <v>6.0009752999999999E-2</v>
      </c>
      <c r="AG36">
        <v>0.128638541</v>
      </c>
      <c r="AH36">
        <v>0.12894847600000001</v>
      </c>
      <c r="AI36">
        <v>0.12992762999999999</v>
      </c>
      <c r="AJ36">
        <v>0.13167598799999999</v>
      </c>
      <c r="AK36">
        <v>0.13083149799999999</v>
      </c>
      <c r="AL36">
        <v>0.12965961600000001</v>
      </c>
      <c r="AM36">
        <v>0.12520313199999999</v>
      </c>
      <c r="AN36">
        <v>0.119924086</v>
      </c>
      <c r="AO36">
        <v>-9.8198290999999993E-2</v>
      </c>
      <c r="AP36">
        <v>0.75234723599999997</v>
      </c>
    </row>
    <row r="37" spans="1:42" x14ac:dyDescent="0.2">
      <c r="A37" t="s">
        <v>138</v>
      </c>
      <c r="B37" t="s">
        <v>102</v>
      </c>
      <c r="C37" t="s">
        <v>101</v>
      </c>
      <c r="D37" t="s">
        <v>100</v>
      </c>
      <c r="E37">
        <v>4.6851137000000001E-2</v>
      </c>
      <c r="F37">
        <v>4.7608950999999997E-2</v>
      </c>
      <c r="G37">
        <v>4.9374320999999999E-2</v>
      </c>
      <c r="H37">
        <v>5.1731922999999999E-2</v>
      </c>
      <c r="I37">
        <v>5.3210238E-2</v>
      </c>
      <c r="J37">
        <v>5.4135540000000003E-2</v>
      </c>
      <c r="K37">
        <v>5.4741958E-2</v>
      </c>
      <c r="L37">
        <v>2.4010566000000001E-2</v>
      </c>
      <c r="M37">
        <v>2.7466405999999999E-2</v>
      </c>
      <c r="N37">
        <v>3.0062386999999999E-2</v>
      </c>
      <c r="O37">
        <v>3.3199149999999997E-2</v>
      </c>
      <c r="P37">
        <v>3.5070210999999997E-2</v>
      </c>
      <c r="Q37">
        <v>3.6651625E-2</v>
      </c>
      <c r="R37">
        <v>3.7801723000000002E-2</v>
      </c>
      <c r="S37">
        <v>7.0397786000000004E-2</v>
      </c>
      <c r="T37">
        <v>6.8367539000000005E-2</v>
      </c>
      <c r="U37">
        <v>6.8986252999999997E-2</v>
      </c>
      <c r="V37">
        <v>7.0596406E-2</v>
      </c>
      <c r="W37">
        <v>7.1624197000000001E-2</v>
      </c>
      <c r="X37">
        <v>7.1859155999999993E-2</v>
      </c>
      <c r="Y37">
        <v>7.1868195999999995E-2</v>
      </c>
      <c r="Z37">
        <v>3.7165507E-2</v>
      </c>
      <c r="AA37">
        <v>3.7878012000000003E-2</v>
      </c>
      <c r="AB37">
        <v>3.7986787000000001E-2</v>
      </c>
      <c r="AC37">
        <v>3.7606700999999999E-2</v>
      </c>
      <c r="AD37">
        <v>3.8837003000000002E-2</v>
      </c>
      <c r="AE37">
        <v>3.9846879000000002E-2</v>
      </c>
      <c r="AF37">
        <v>4.0052566999999997E-2</v>
      </c>
      <c r="AG37">
        <v>5.6627411000000002E-2</v>
      </c>
      <c r="AH37">
        <v>5.7431313999999997E-2</v>
      </c>
      <c r="AI37">
        <v>6.0887218999999999E-2</v>
      </c>
      <c r="AJ37">
        <v>6.6049875999999993E-2</v>
      </c>
      <c r="AK37">
        <v>6.7782992E-2</v>
      </c>
      <c r="AL37">
        <v>6.8621024000000003E-2</v>
      </c>
      <c r="AM37">
        <v>6.9639326000000001E-2</v>
      </c>
      <c r="AN37">
        <v>6.8050389000000003E-2</v>
      </c>
      <c r="AO37">
        <v>0.53457252099999997</v>
      </c>
      <c r="AP37">
        <v>0.35526197500000001</v>
      </c>
    </row>
  </sheetData>
  <mergeCells count="7">
    <mergeCell ref="AO2:AP2"/>
    <mergeCell ref="A1:D1"/>
    <mergeCell ref="E2:K2"/>
    <mergeCell ref="L2:R2"/>
    <mergeCell ref="S2:Y2"/>
    <mergeCell ref="Z2:AF2"/>
    <mergeCell ref="AG2:AM2"/>
  </mergeCells>
  <hyperlinks>
    <hyperlink ref="C2" r:id="rId1"/>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U73"/>
  <sheetViews>
    <sheetView topLeftCell="L5" workbookViewId="0">
      <selection activeCell="Q23" sqref="Q23"/>
    </sheetView>
  </sheetViews>
  <sheetFormatPr defaultColWidth="10.28515625" defaultRowHeight="12.75" x14ac:dyDescent="0.2"/>
  <cols>
    <col min="1" max="1" width="5.28515625" style="2" customWidth="1"/>
    <col min="2" max="2" width="50.140625" style="2" customWidth="1"/>
    <col min="3" max="3" width="47.28515625" style="1" customWidth="1"/>
    <col min="4" max="4" width="11.7109375" style="1" customWidth="1"/>
    <col min="5" max="6" width="47.28515625" style="1" customWidth="1"/>
    <col min="7" max="7" width="10.28515625" style="2"/>
    <col min="8" max="8" width="50" style="2" customWidth="1"/>
    <col min="9" max="9" width="49.28515625" style="2" customWidth="1"/>
    <col min="10" max="10" width="10.28515625" style="2"/>
    <col min="11" max="11" width="50" style="2" customWidth="1"/>
    <col min="12" max="12" width="49.140625" style="2" customWidth="1"/>
    <col min="13" max="13" width="10.28515625" style="2"/>
    <col min="14" max="15" width="50" style="2" customWidth="1"/>
    <col min="16" max="16" width="10.28515625" style="2"/>
    <col min="17" max="18" width="50.140625" style="2" customWidth="1"/>
    <col min="19" max="19" width="10.28515625" style="2"/>
    <col min="20" max="21" width="50" style="2" customWidth="1"/>
    <col min="22" max="16384" width="10.28515625" style="2"/>
  </cols>
  <sheetData>
    <row r="1" spans="2:21" ht="20.25" x14ac:dyDescent="0.2">
      <c r="B1" s="55" t="s">
        <v>0</v>
      </c>
    </row>
    <row r="2" spans="2:21" ht="101.25" customHeight="1" x14ac:dyDescent="0.2">
      <c r="B2" s="93" t="s">
        <v>1</v>
      </c>
      <c r="C2" s="94"/>
      <c r="E2" s="28"/>
      <c r="F2" s="5"/>
      <c r="Q2" s="28"/>
      <c r="R2" s="5"/>
    </row>
    <row r="3" spans="2:21" ht="11.25" customHeight="1" x14ac:dyDescent="0.2">
      <c r="B3" s="50" t="s">
        <v>2</v>
      </c>
      <c r="C3" s="56"/>
    </row>
    <row r="5" spans="2:21" s="6" customFormat="1" ht="30.75" customHeight="1" x14ac:dyDescent="0.2">
      <c r="B5" s="57" t="s">
        <v>3</v>
      </c>
      <c r="C5" s="4"/>
      <c r="E5" s="57" t="s">
        <v>4</v>
      </c>
      <c r="F5" s="4"/>
      <c r="H5" s="57" t="s">
        <v>5</v>
      </c>
      <c r="I5" s="4"/>
      <c r="K5" s="57" t="s">
        <v>6</v>
      </c>
      <c r="L5" s="4"/>
      <c r="N5" s="57" t="s">
        <v>7</v>
      </c>
      <c r="O5" s="4"/>
      <c r="Q5" s="57" t="s">
        <v>8</v>
      </c>
      <c r="R5" s="4"/>
      <c r="T5" s="57" t="s">
        <v>85</v>
      </c>
      <c r="U5" s="4"/>
    </row>
    <row r="6" spans="2:21" s="7" customFormat="1" ht="33.75" customHeight="1" x14ac:dyDescent="0.2">
      <c r="B6" s="95" t="s">
        <v>9</v>
      </c>
      <c r="C6" s="95"/>
      <c r="E6" s="96" t="s">
        <v>10</v>
      </c>
      <c r="F6" s="96"/>
      <c r="H6" s="95" t="s">
        <v>11</v>
      </c>
      <c r="I6" s="95"/>
      <c r="K6" s="96" t="s">
        <v>12</v>
      </c>
      <c r="L6" s="96"/>
      <c r="N6" s="95" t="s">
        <v>13</v>
      </c>
      <c r="O6" s="95"/>
      <c r="Q6" s="96" t="s">
        <v>14</v>
      </c>
      <c r="R6" s="96"/>
      <c r="T6" s="95" t="s">
        <v>15</v>
      </c>
      <c r="U6" s="95"/>
    </row>
    <row r="7" spans="2:21" x14ac:dyDescent="0.2">
      <c r="B7" s="8"/>
      <c r="C7" s="9"/>
      <c r="D7" s="2"/>
      <c r="E7" s="2"/>
      <c r="H7" s="8"/>
      <c r="I7" s="9"/>
      <c r="L7" s="1"/>
      <c r="N7" s="8"/>
      <c r="O7" s="9"/>
      <c r="R7" s="1"/>
      <c r="T7" s="8"/>
      <c r="U7" s="9"/>
    </row>
    <row r="8" spans="2:21" x14ac:dyDescent="0.2">
      <c r="B8" s="10" t="s">
        <v>16</v>
      </c>
      <c r="C8" s="11" t="s">
        <v>17</v>
      </c>
      <c r="D8" s="2"/>
      <c r="E8" s="10" t="s">
        <v>16</v>
      </c>
      <c r="F8" s="11" t="s">
        <v>17</v>
      </c>
      <c r="H8" s="10" t="s">
        <v>16</v>
      </c>
      <c r="I8" s="11" t="s">
        <v>17</v>
      </c>
      <c r="K8" s="10" t="s">
        <v>16</v>
      </c>
      <c r="L8" s="11" t="s">
        <v>17</v>
      </c>
      <c r="N8" s="10" t="s">
        <v>16</v>
      </c>
      <c r="O8" s="11" t="s">
        <v>17</v>
      </c>
      <c r="Q8" s="10" t="s">
        <v>16</v>
      </c>
      <c r="R8" s="11" t="s">
        <v>17</v>
      </c>
      <c r="T8" s="10" t="s">
        <v>16</v>
      </c>
      <c r="U8" s="11" t="s">
        <v>17</v>
      </c>
    </row>
    <row r="9" spans="2:21" x14ac:dyDescent="0.2">
      <c r="B9" s="12" t="s">
        <v>18</v>
      </c>
      <c r="C9" s="13" t="s">
        <v>19</v>
      </c>
      <c r="D9" s="2"/>
      <c r="E9" s="14" t="s">
        <v>18</v>
      </c>
      <c r="F9" s="15" t="s">
        <v>19</v>
      </c>
      <c r="H9" s="12" t="s">
        <v>18</v>
      </c>
      <c r="I9" s="13" t="s">
        <v>19</v>
      </c>
      <c r="K9" s="14" t="s">
        <v>18</v>
      </c>
      <c r="L9" s="15" t="s">
        <v>19</v>
      </c>
      <c r="N9" s="12" t="s">
        <v>18</v>
      </c>
      <c r="O9" s="13" t="s">
        <v>20</v>
      </c>
      <c r="Q9" s="14" t="s">
        <v>18</v>
      </c>
      <c r="R9" s="15" t="s">
        <v>20</v>
      </c>
      <c r="T9" s="12" t="s">
        <v>18</v>
      </c>
      <c r="U9" s="13" t="s">
        <v>320</v>
      </c>
    </row>
    <row r="10" spans="2:21" ht="25.5" x14ac:dyDescent="0.2">
      <c r="B10" s="12" t="s">
        <v>21</v>
      </c>
      <c r="C10" s="13" t="s">
        <v>22</v>
      </c>
      <c r="D10" s="2"/>
      <c r="E10" s="14" t="s">
        <v>21</v>
      </c>
      <c r="F10" s="15" t="s">
        <v>23</v>
      </c>
      <c r="H10" s="12" t="s">
        <v>21</v>
      </c>
      <c r="I10" s="13" t="s">
        <v>24</v>
      </c>
      <c r="K10" s="14" t="s">
        <v>21</v>
      </c>
      <c r="L10" s="15" t="s">
        <v>25</v>
      </c>
      <c r="N10" s="12" t="s">
        <v>21</v>
      </c>
      <c r="O10" s="13" t="s">
        <v>26</v>
      </c>
      <c r="Q10" s="14" t="s">
        <v>21</v>
      </c>
      <c r="R10" s="15" t="s">
        <v>27</v>
      </c>
      <c r="T10" s="12" t="s">
        <v>21</v>
      </c>
      <c r="U10" s="13" t="s">
        <v>28</v>
      </c>
    </row>
    <row r="11" spans="2:21" ht="25.5" x14ac:dyDescent="0.2">
      <c r="B11" s="12" t="s">
        <v>29</v>
      </c>
      <c r="C11" s="13" t="s">
        <v>30</v>
      </c>
      <c r="D11" s="2"/>
      <c r="E11" s="14" t="s">
        <v>86</v>
      </c>
      <c r="F11" s="15" t="s">
        <v>88</v>
      </c>
      <c r="H11" s="12" t="s">
        <v>29</v>
      </c>
      <c r="I11" s="13" t="s">
        <v>31</v>
      </c>
      <c r="K11" s="14" t="s">
        <v>29</v>
      </c>
      <c r="L11" s="15" t="s">
        <v>32</v>
      </c>
      <c r="N11" s="12" t="s">
        <v>29</v>
      </c>
      <c r="O11" s="13" t="s">
        <v>33</v>
      </c>
      <c r="Q11" s="14" t="s">
        <v>29</v>
      </c>
      <c r="R11" s="15" t="s">
        <v>34</v>
      </c>
      <c r="T11" s="12" t="s">
        <v>29</v>
      </c>
      <c r="U11" s="13" t="s">
        <v>35</v>
      </c>
    </row>
    <row r="12" spans="2:21" ht="38.25" customHeight="1" x14ac:dyDescent="0.2">
      <c r="B12" s="12" t="s">
        <v>36</v>
      </c>
      <c r="C12" s="13" t="s">
        <v>37</v>
      </c>
      <c r="D12" s="2"/>
      <c r="E12" s="14" t="s">
        <v>36</v>
      </c>
      <c r="F12" s="15" t="s">
        <v>38</v>
      </c>
      <c r="H12" s="12" t="s">
        <v>36</v>
      </c>
      <c r="I12" s="13" t="s">
        <v>39</v>
      </c>
      <c r="K12" s="14" t="s">
        <v>36</v>
      </c>
      <c r="L12" s="15" t="s">
        <v>40</v>
      </c>
      <c r="N12" s="12" t="s">
        <v>36</v>
      </c>
      <c r="O12" s="13" t="s">
        <v>41</v>
      </c>
      <c r="Q12" s="14" t="s">
        <v>36</v>
      </c>
      <c r="R12" s="15" t="s">
        <v>41</v>
      </c>
      <c r="T12" s="12" t="s">
        <v>36</v>
      </c>
      <c r="U12" s="13" t="s">
        <v>42</v>
      </c>
    </row>
    <row r="13" spans="2:21" x14ac:dyDescent="0.2">
      <c r="B13" s="12" t="s">
        <v>43</v>
      </c>
      <c r="C13" s="13" t="s">
        <v>44</v>
      </c>
      <c r="D13" s="2"/>
      <c r="E13" s="14" t="s">
        <v>43</v>
      </c>
      <c r="F13" s="15" t="s">
        <v>45</v>
      </c>
      <c r="H13" s="12" t="s">
        <v>43</v>
      </c>
      <c r="I13" s="13" t="s">
        <v>45</v>
      </c>
      <c r="K13" s="14" t="s">
        <v>43</v>
      </c>
      <c r="L13" s="15" t="s">
        <v>44</v>
      </c>
      <c r="N13" s="12" t="s">
        <v>43</v>
      </c>
      <c r="O13" s="13" t="s">
        <v>45</v>
      </c>
      <c r="Q13" s="14" t="s">
        <v>43</v>
      </c>
      <c r="R13" s="15" t="s">
        <v>44</v>
      </c>
      <c r="T13" s="12" t="s">
        <v>43</v>
      </c>
      <c r="U13" s="13" t="s">
        <v>45</v>
      </c>
    </row>
    <row r="14" spans="2:21" x14ac:dyDescent="0.2">
      <c r="B14" s="16"/>
      <c r="C14" s="17"/>
      <c r="D14" s="2"/>
      <c r="E14" s="6"/>
      <c r="F14" s="5"/>
      <c r="H14" s="16"/>
      <c r="I14" s="17"/>
      <c r="K14" s="6"/>
      <c r="L14" s="5"/>
      <c r="N14" s="16"/>
      <c r="O14" s="17"/>
      <c r="Q14" s="6"/>
      <c r="R14" s="5"/>
      <c r="T14" s="16"/>
      <c r="U14" s="17"/>
    </row>
    <row r="15" spans="2:21" x14ac:dyDescent="0.2">
      <c r="B15" s="18" t="s">
        <v>46</v>
      </c>
      <c r="C15" s="19" t="s">
        <v>47</v>
      </c>
      <c r="D15" s="2"/>
      <c r="E15" s="18" t="s">
        <v>46</v>
      </c>
      <c r="F15" s="19" t="s">
        <v>47</v>
      </c>
      <c r="H15" s="18" t="s">
        <v>46</v>
      </c>
      <c r="I15" s="19" t="s">
        <v>47</v>
      </c>
      <c r="K15" s="18" t="s">
        <v>46</v>
      </c>
      <c r="L15" s="19" t="s">
        <v>47</v>
      </c>
      <c r="N15" s="18" t="s">
        <v>46</v>
      </c>
      <c r="O15" s="19" t="s">
        <v>47</v>
      </c>
      <c r="Q15" s="18" t="s">
        <v>46</v>
      </c>
      <c r="R15" s="19" t="s">
        <v>47</v>
      </c>
      <c r="T15" s="18" t="s">
        <v>46</v>
      </c>
      <c r="U15" s="19" t="s">
        <v>47</v>
      </c>
    </row>
    <row r="16" spans="2:21" x14ac:dyDescent="0.2">
      <c r="B16" s="12" t="s">
        <v>48</v>
      </c>
      <c r="C16" s="20" t="s">
        <v>398</v>
      </c>
      <c r="D16" s="2"/>
      <c r="E16" s="14" t="s">
        <v>48</v>
      </c>
      <c r="F16" s="22" t="s">
        <v>399</v>
      </c>
      <c r="H16" s="12" t="s">
        <v>48</v>
      </c>
      <c r="I16" s="20" t="s">
        <v>400</v>
      </c>
      <c r="K16" s="14" t="s">
        <v>48</v>
      </c>
      <c r="L16" s="22" t="s">
        <v>401</v>
      </c>
      <c r="N16" s="12" t="s">
        <v>48</v>
      </c>
      <c r="O16" s="20" t="s">
        <v>402</v>
      </c>
      <c r="Q16" s="14" t="s">
        <v>48</v>
      </c>
      <c r="R16" s="22" t="s">
        <v>403</v>
      </c>
      <c r="T16" s="12" t="s">
        <v>48</v>
      </c>
      <c r="U16" s="20" t="s">
        <v>404</v>
      </c>
    </row>
    <row r="17" spans="2:21" x14ac:dyDescent="0.2">
      <c r="B17" s="12" t="s">
        <v>49</v>
      </c>
      <c r="C17" s="20" t="s">
        <v>50</v>
      </c>
      <c r="D17" s="2"/>
      <c r="E17" s="14" t="s">
        <v>49</v>
      </c>
      <c r="F17" s="22">
        <v>0</v>
      </c>
      <c r="H17" s="12" t="s">
        <v>49</v>
      </c>
      <c r="I17" s="20">
        <v>0</v>
      </c>
      <c r="K17" s="14" t="s">
        <v>49</v>
      </c>
      <c r="L17" s="22" t="s">
        <v>51</v>
      </c>
      <c r="N17" s="12" t="s">
        <v>49</v>
      </c>
      <c r="O17" s="20" t="s">
        <v>51</v>
      </c>
      <c r="Q17" s="14" t="s">
        <v>49</v>
      </c>
      <c r="R17" s="22" t="s">
        <v>50</v>
      </c>
      <c r="T17" s="12" t="s">
        <v>49</v>
      </c>
      <c r="U17" s="20" t="s">
        <v>52</v>
      </c>
    </row>
    <row r="18" spans="2:21" x14ac:dyDescent="0.2">
      <c r="B18" s="12" t="s">
        <v>53</v>
      </c>
      <c r="C18" s="20" t="s">
        <v>405</v>
      </c>
      <c r="D18" s="2"/>
      <c r="E18" s="14" t="s">
        <v>53</v>
      </c>
      <c r="F18" s="22" t="s">
        <v>406</v>
      </c>
      <c r="H18" s="12" t="s">
        <v>53</v>
      </c>
      <c r="I18" s="20" t="s">
        <v>407</v>
      </c>
      <c r="K18" s="14" t="s">
        <v>53</v>
      </c>
      <c r="L18" s="22" t="s">
        <v>408</v>
      </c>
      <c r="N18" s="12" t="s">
        <v>53</v>
      </c>
      <c r="O18" s="20" t="s">
        <v>409</v>
      </c>
      <c r="Q18" s="14" t="s">
        <v>53</v>
      </c>
      <c r="R18" s="22" t="s">
        <v>410</v>
      </c>
      <c r="T18" s="12" t="s">
        <v>53</v>
      </c>
      <c r="U18" s="20" t="s">
        <v>411</v>
      </c>
    </row>
    <row r="19" spans="2:21" x14ac:dyDescent="0.2">
      <c r="B19" s="12" t="s">
        <v>54</v>
      </c>
      <c r="C19" s="58" t="s">
        <v>386</v>
      </c>
      <c r="D19" s="2"/>
      <c r="E19" s="14" t="s">
        <v>54</v>
      </c>
      <c r="F19" s="59" t="s">
        <v>412</v>
      </c>
      <c r="H19" s="12" t="s">
        <v>54</v>
      </c>
      <c r="I19" s="58" t="s">
        <v>413</v>
      </c>
      <c r="K19" s="14" t="s">
        <v>54</v>
      </c>
      <c r="L19" s="59" t="s">
        <v>377</v>
      </c>
      <c r="N19" s="12" t="s">
        <v>54</v>
      </c>
      <c r="O19" s="58" t="s">
        <v>387</v>
      </c>
      <c r="Q19" s="14" t="s">
        <v>54</v>
      </c>
      <c r="R19" s="59" t="s">
        <v>388</v>
      </c>
      <c r="T19" s="12" t="s">
        <v>54</v>
      </c>
      <c r="U19" s="58" t="s">
        <v>389</v>
      </c>
    </row>
    <row r="20" spans="2:21" x14ac:dyDescent="0.2">
      <c r="B20" s="16"/>
      <c r="C20" s="60"/>
      <c r="D20" s="2"/>
      <c r="E20" s="14" t="s">
        <v>55</v>
      </c>
      <c r="F20" s="61">
        <v>1.0102783012674805</v>
      </c>
      <c r="H20" s="16"/>
      <c r="I20" s="60"/>
      <c r="K20" s="6"/>
      <c r="L20" s="62"/>
      <c r="N20" s="16"/>
      <c r="O20" s="60"/>
      <c r="Q20" s="6"/>
      <c r="R20" s="62"/>
      <c r="T20" s="16"/>
      <c r="U20" s="60"/>
    </row>
    <row r="21" spans="2:21" x14ac:dyDescent="0.2">
      <c r="B21" s="16"/>
      <c r="C21" s="60"/>
      <c r="D21" s="2"/>
      <c r="E21" s="14" t="s">
        <v>56</v>
      </c>
      <c r="F21" s="61">
        <v>0.7410640275106577</v>
      </c>
      <c r="H21" s="16"/>
      <c r="I21" s="60"/>
      <c r="K21" s="6"/>
      <c r="L21" s="62"/>
      <c r="N21" s="16"/>
      <c r="O21" s="60"/>
      <c r="Q21" s="6"/>
      <c r="R21" s="62"/>
      <c r="T21" s="16"/>
      <c r="U21" s="60"/>
    </row>
    <row r="22" spans="2:21" x14ac:dyDescent="0.2">
      <c r="B22" s="16"/>
      <c r="C22" s="17"/>
      <c r="D22" s="2"/>
      <c r="E22" s="6"/>
      <c r="F22" s="5"/>
      <c r="H22" s="16"/>
      <c r="I22" s="17"/>
      <c r="K22" s="6"/>
      <c r="L22" s="5"/>
      <c r="N22" s="16"/>
      <c r="O22" s="17"/>
      <c r="Q22" s="6"/>
      <c r="R22" s="5"/>
      <c r="T22" s="16"/>
      <c r="U22" s="17"/>
    </row>
    <row r="23" spans="2:21" ht="180.75" customHeight="1" x14ac:dyDescent="0.2">
      <c r="B23" s="23" t="s">
        <v>57</v>
      </c>
      <c r="C23" s="24" t="s">
        <v>414</v>
      </c>
      <c r="D23" s="2"/>
      <c r="E23" s="25" t="s">
        <v>57</v>
      </c>
      <c r="F23" s="26" t="s">
        <v>372</v>
      </c>
      <c r="H23" s="23" t="s">
        <v>57</v>
      </c>
      <c r="I23" s="24" t="s">
        <v>415</v>
      </c>
      <c r="K23" s="25" t="s">
        <v>57</v>
      </c>
      <c r="L23" s="26" t="s">
        <v>416</v>
      </c>
      <c r="N23" s="23" t="s">
        <v>57</v>
      </c>
      <c r="O23" s="24" t="s">
        <v>417</v>
      </c>
      <c r="Q23" s="25" t="s">
        <v>57</v>
      </c>
      <c r="R23" s="26" t="s">
        <v>373</v>
      </c>
      <c r="T23" s="23" t="s">
        <v>57</v>
      </c>
      <c r="U23" s="24" t="s">
        <v>418</v>
      </c>
    </row>
    <row r="24" spans="2:21" x14ac:dyDescent="0.2">
      <c r="B24" s="27"/>
      <c r="C24" s="17"/>
      <c r="D24" s="2"/>
      <c r="E24" s="28"/>
      <c r="F24" s="5"/>
      <c r="H24" s="27"/>
      <c r="I24" s="17"/>
      <c r="K24" s="28"/>
      <c r="L24" s="5"/>
      <c r="N24" s="27"/>
      <c r="O24" s="17"/>
      <c r="Q24" s="28"/>
      <c r="R24" s="5"/>
      <c r="T24" s="27"/>
      <c r="U24" s="17"/>
    </row>
    <row r="25" spans="2:21" ht="156.75" customHeight="1" x14ac:dyDescent="0.2">
      <c r="B25" s="23" t="s">
        <v>67</v>
      </c>
      <c r="C25" s="24" t="s">
        <v>89</v>
      </c>
      <c r="D25" s="2"/>
      <c r="E25" s="25" t="s">
        <v>67</v>
      </c>
      <c r="F25" s="26" t="s">
        <v>68</v>
      </c>
      <c r="H25" s="23" t="s">
        <v>60</v>
      </c>
      <c r="I25" s="24" t="s">
        <v>61</v>
      </c>
      <c r="K25" s="25" t="s">
        <v>62</v>
      </c>
      <c r="L25" s="26" t="s">
        <v>63</v>
      </c>
      <c r="N25" s="23" t="s">
        <v>64</v>
      </c>
      <c r="O25" s="24" t="s">
        <v>90</v>
      </c>
      <c r="Q25" s="25" t="s">
        <v>72</v>
      </c>
      <c r="R25" s="51" t="s">
        <v>326</v>
      </c>
      <c r="T25" s="23" t="s">
        <v>325</v>
      </c>
      <c r="U25" s="24" t="s">
        <v>419</v>
      </c>
    </row>
    <row r="26" spans="2:21" ht="140.25" customHeight="1" x14ac:dyDescent="0.2">
      <c r="B26" s="27" t="s">
        <v>58</v>
      </c>
      <c r="C26" s="35" t="s">
        <v>66</v>
      </c>
      <c r="D26" s="2"/>
      <c r="E26" s="28" t="s">
        <v>58</v>
      </c>
      <c r="F26" s="5" t="s">
        <v>59</v>
      </c>
      <c r="H26" s="27" t="s">
        <v>69</v>
      </c>
      <c r="I26" s="35" t="s">
        <v>70</v>
      </c>
      <c r="K26" s="28" t="s">
        <v>325</v>
      </c>
      <c r="L26" s="5" t="s">
        <v>390</v>
      </c>
      <c r="N26" s="27" t="s">
        <v>71</v>
      </c>
      <c r="O26" s="35" t="s">
        <v>324</v>
      </c>
      <c r="Q26" s="28" t="s">
        <v>65</v>
      </c>
      <c r="R26" s="5" t="s">
        <v>369</v>
      </c>
      <c r="T26" s="27" t="s">
        <v>73</v>
      </c>
      <c r="U26" s="35" t="s">
        <v>74</v>
      </c>
    </row>
    <row r="27" spans="2:21" ht="20.25" customHeight="1" x14ac:dyDescent="0.2">
      <c r="B27" s="23"/>
      <c r="C27" s="36" t="s">
        <v>87</v>
      </c>
      <c r="D27" s="2"/>
      <c r="E27" s="25"/>
      <c r="F27" s="37" t="s">
        <v>87</v>
      </c>
      <c r="H27" s="23"/>
      <c r="I27" s="36"/>
      <c r="K27" s="25"/>
      <c r="L27" s="52"/>
      <c r="N27" s="23"/>
      <c r="O27" s="36"/>
      <c r="Q27" s="25"/>
      <c r="R27" s="37" t="s">
        <v>87</v>
      </c>
      <c r="T27" s="23"/>
      <c r="U27" s="36"/>
    </row>
    <row r="28" spans="2:21" x14ac:dyDescent="0.2">
      <c r="B28" s="27"/>
      <c r="C28" s="38"/>
      <c r="D28" s="2"/>
      <c r="E28" s="28"/>
      <c r="F28" s="5"/>
      <c r="H28" s="27"/>
      <c r="I28" s="38"/>
      <c r="K28" s="28"/>
      <c r="L28" s="5"/>
      <c r="N28" s="27"/>
      <c r="O28" s="38"/>
      <c r="Q28" s="28"/>
      <c r="R28" s="5"/>
      <c r="T28" s="27"/>
      <c r="U28" s="38"/>
    </row>
    <row r="29" spans="2:21" ht="122.25" customHeight="1" x14ac:dyDescent="0.2">
      <c r="B29" s="23" t="s">
        <v>75</v>
      </c>
      <c r="C29" s="24" t="s">
        <v>76</v>
      </c>
      <c r="D29" s="2"/>
      <c r="E29" s="25" t="s">
        <v>77</v>
      </c>
      <c r="F29" s="26" t="s">
        <v>78</v>
      </c>
      <c r="H29" s="23" t="s">
        <v>79</v>
      </c>
      <c r="I29" s="24" t="s">
        <v>323</v>
      </c>
      <c r="K29" s="25" t="s">
        <v>75</v>
      </c>
      <c r="L29" s="26" t="s">
        <v>420</v>
      </c>
      <c r="N29" s="23" t="s">
        <v>75</v>
      </c>
      <c r="O29" s="24" t="s">
        <v>391</v>
      </c>
      <c r="Q29" s="25" t="s">
        <v>75</v>
      </c>
      <c r="R29" s="26" t="s">
        <v>322</v>
      </c>
      <c r="T29" s="23" t="s">
        <v>75</v>
      </c>
      <c r="U29" s="24" t="s">
        <v>392</v>
      </c>
    </row>
    <row r="30" spans="2:21" x14ac:dyDescent="0.2">
      <c r="B30" s="16"/>
      <c r="C30" s="17"/>
      <c r="D30" s="2"/>
      <c r="E30" s="6"/>
      <c r="F30" s="5"/>
      <c r="H30" s="16"/>
      <c r="I30" s="17"/>
      <c r="K30" s="6"/>
      <c r="L30" s="5"/>
      <c r="N30" s="16"/>
      <c r="O30" s="17"/>
      <c r="Q30" s="6"/>
      <c r="R30" s="5"/>
      <c r="T30" s="16"/>
      <c r="U30" s="17"/>
    </row>
    <row r="31" spans="2:21" ht="103.5" customHeight="1" x14ac:dyDescent="0.2">
      <c r="B31" s="99" t="s">
        <v>80</v>
      </c>
      <c r="C31" s="99"/>
      <c r="D31" s="2"/>
      <c r="E31" s="100" t="s">
        <v>80</v>
      </c>
      <c r="F31" s="100"/>
      <c r="H31" s="99" t="s">
        <v>80</v>
      </c>
      <c r="I31" s="99"/>
      <c r="K31" s="100" t="s">
        <v>80</v>
      </c>
      <c r="L31" s="100"/>
      <c r="N31" s="99" t="s">
        <v>80</v>
      </c>
      <c r="O31" s="99"/>
      <c r="Q31" s="100" t="s">
        <v>80</v>
      </c>
      <c r="R31" s="100"/>
      <c r="T31" s="99" t="s">
        <v>80</v>
      </c>
      <c r="U31" s="99"/>
    </row>
    <row r="32" spans="2:21" x14ac:dyDescent="0.2">
      <c r="B32" s="17"/>
      <c r="C32" s="63"/>
      <c r="D32" s="2"/>
      <c r="E32" s="5"/>
      <c r="F32" s="64"/>
      <c r="H32" s="17"/>
      <c r="I32" s="63"/>
      <c r="K32" s="5"/>
      <c r="L32" s="64"/>
      <c r="N32" s="17"/>
      <c r="O32" s="63"/>
      <c r="Q32" s="5"/>
      <c r="R32" s="64"/>
      <c r="T32" s="17"/>
      <c r="U32" s="63"/>
    </row>
    <row r="33" spans="2:21" ht="38.25" x14ac:dyDescent="0.2">
      <c r="B33" s="27" t="s">
        <v>81</v>
      </c>
      <c r="C33" s="17" t="s">
        <v>82</v>
      </c>
      <c r="D33" s="2"/>
      <c r="E33" s="28" t="s">
        <v>81</v>
      </c>
      <c r="F33" s="39" t="s">
        <v>421</v>
      </c>
      <c r="H33" s="27" t="s">
        <v>81</v>
      </c>
      <c r="I33" s="53" t="s">
        <v>321</v>
      </c>
      <c r="K33" s="28" t="s">
        <v>81</v>
      </c>
      <c r="L33" s="5" t="s">
        <v>91</v>
      </c>
      <c r="N33" s="27" t="s">
        <v>81</v>
      </c>
      <c r="O33" s="17" t="s">
        <v>92</v>
      </c>
      <c r="Q33" s="28" t="s">
        <v>81</v>
      </c>
      <c r="R33" s="5" t="s">
        <v>93</v>
      </c>
      <c r="T33" s="27" t="s">
        <v>81</v>
      </c>
      <c r="U33" s="17" t="s">
        <v>94</v>
      </c>
    </row>
    <row r="34" spans="2:21" x14ac:dyDescent="0.2">
      <c r="B34" s="16"/>
      <c r="C34" s="17"/>
      <c r="D34" s="2"/>
      <c r="E34" s="6"/>
      <c r="F34" s="5"/>
      <c r="H34" s="16"/>
      <c r="I34" s="17"/>
      <c r="K34" s="6"/>
      <c r="L34" s="5"/>
      <c r="N34" s="16"/>
      <c r="O34" s="17"/>
      <c r="Q34" s="6"/>
      <c r="R34" s="5"/>
      <c r="T34" s="16"/>
      <c r="U34" s="17"/>
    </row>
    <row r="35" spans="2:21" ht="38.25" x14ac:dyDescent="0.2">
      <c r="B35" s="27" t="s">
        <v>83</v>
      </c>
      <c r="C35" s="17" t="s">
        <v>95</v>
      </c>
      <c r="D35" s="2"/>
      <c r="E35" s="28" t="s">
        <v>83</v>
      </c>
      <c r="F35" s="5" t="s">
        <v>422</v>
      </c>
      <c r="H35" s="27" t="s">
        <v>83</v>
      </c>
      <c r="I35" s="17" t="s">
        <v>96</v>
      </c>
      <c r="K35" s="28" t="s">
        <v>83</v>
      </c>
      <c r="L35" s="5" t="s">
        <v>97</v>
      </c>
      <c r="N35" s="27" t="s">
        <v>83</v>
      </c>
      <c r="O35" s="17" t="s">
        <v>98</v>
      </c>
      <c r="Q35" s="28" t="s">
        <v>83</v>
      </c>
      <c r="R35" s="5" t="s">
        <v>371</v>
      </c>
      <c r="T35" s="27" t="s">
        <v>83</v>
      </c>
      <c r="U35" s="17" t="s">
        <v>376</v>
      </c>
    </row>
    <row r="36" spans="2:21" x14ac:dyDescent="0.2">
      <c r="B36" s="16"/>
      <c r="C36" s="17"/>
      <c r="D36" s="2"/>
      <c r="E36" s="6"/>
      <c r="F36" s="5"/>
      <c r="H36" s="16"/>
      <c r="I36" s="17"/>
      <c r="K36" s="6"/>
      <c r="L36" s="5"/>
      <c r="N36" s="16"/>
      <c r="O36" s="17"/>
      <c r="Q36" s="6"/>
      <c r="R36" s="5"/>
      <c r="T36" s="16"/>
      <c r="U36" s="17"/>
    </row>
    <row r="37" spans="2:21" x14ac:dyDescent="0.2">
      <c r="B37" s="29" t="s">
        <v>46</v>
      </c>
      <c r="C37" s="30" t="s">
        <v>47</v>
      </c>
      <c r="D37" s="2"/>
      <c r="E37" s="29" t="s">
        <v>46</v>
      </c>
      <c r="F37" s="30" t="s">
        <v>47</v>
      </c>
      <c r="H37" s="29" t="s">
        <v>46</v>
      </c>
      <c r="I37" s="30" t="s">
        <v>47</v>
      </c>
      <c r="K37" s="29" t="s">
        <v>46</v>
      </c>
      <c r="L37" s="30" t="s">
        <v>47</v>
      </c>
      <c r="N37" s="29" t="s">
        <v>46</v>
      </c>
      <c r="O37" s="30" t="s">
        <v>47</v>
      </c>
      <c r="Q37" s="29" t="s">
        <v>46</v>
      </c>
      <c r="R37" s="30" t="s">
        <v>47</v>
      </c>
      <c r="T37" s="29" t="s">
        <v>46</v>
      </c>
      <c r="U37" s="30" t="s">
        <v>47</v>
      </c>
    </row>
    <row r="38" spans="2:21" x14ac:dyDescent="0.2">
      <c r="B38" s="31" t="s">
        <v>84</v>
      </c>
      <c r="C38" s="32" t="s">
        <v>423</v>
      </c>
      <c r="D38" s="2"/>
      <c r="E38" s="33" t="s">
        <v>84</v>
      </c>
      <c r="F38" s="21" t="s">
        <v>424</v>
      </c>
      <c r="H38" s="31" t="s">
        <v>84</v>
      </c>
      <c r="I38" s="32" t="s">
        <v>425</v>
      </c>
      <c r="K38" s="33" t="s">
        <v>84</v>
      </c>
      <c r="L38" s="21" t="s">
        <v>426</v>
      </c>
      <c r="N38" s="31" t="s">
        <v>84</v>
      </c>
      <c r="O38" s="32" t="s">
        <v>427</v>
      </c>
      <c r="Q38" s="33" t="s">
        <v>84</v>
      </c>
      <c r="R38" s="21" t="s">
        <v>428</v>
      </c>
      <c r="T38" s="31" t="s">
        <v>84</v>
      </c>
      <c r="U38" s="32" t="s">
        <v>429</v>
      </c>
    </row>
    <row r="39" spans="2:21" x14ac:dyDescent="0.2">
      <c r="B39" s="31" t="s">
        <v>29</v>
      </c>
      <c r="C39" s="32" t="s">
        <v>430</v>
      </c>
      <c r="D39" s="2"/>
      <c r="E39" s="33" t="s">
        <v>29</v>
      </c>
      <c r="F39" s="21" t="s">
        <v>375</v>
      </c>
      <c r="H39" s="31" t="s">
        <v>29</v>
      </c>
      <c r="I39" s="32" t="s">
        <v>99</v>
      </c>
      <c r="K39" s="33" t="s">
        <v>29</v>
      </c>
      <c r="L39" s="21" t="s">
        <v>393</v>
      </c>
      <c r="N39" s="31" t="s">
        <v>29</v>
      </c>
      <c r="O39" s="32" t="s">
        <v>431</v>
      </c>
      <c r="Q39" s="33" t="s">
        <v>29</v>
      </c>
      <c r="R39" s="21" t="s">
        <v>394</v>
      </c>
      <c r="T39" s="31" t="s">
        <v>29</v>
      </c>
      <c r="U39" s="32" t="s">
        <v>374</v>
      </c>
    </row>
    <row r="40" spans="2:21" x14ac:dyDescent="0.2">
      <c r="B40" s="31" t="s">
        <v>54</v>
      </c>
      <c r="C40" s="65" t="s">
        <v>432</v>
      </c>
      <c r="D40" s="2"/>
      <c r="E40" s="33" t="s">
        <v>54</v>
      </c>
      <c r="F40" s="66" t="s">
        <v>433</v>
      </c>
      <c r="H40" s="31" t="s">
        <v>54</v>
      </c>
      <c r="I40" s="65" t="s">
        <v>370</v>
      </c>
      <c r="K40" s="33" t="s">
        <v>54</v>
      </c>
      <c r="L40" s="66" t="s">
        <v>434</v>
      </c>
      <c r="N40" s="31" t="s">
        <v>54</v>
      </c>
      <c r="O40" s="65" t="s">
        <v>435</v>
      </c>
      <c r="Q40" s="33" t="s">
        <v>54</v>
      </c>
      <c r="R40" s="66" t="s">
        <v>436</v>
      </c>
      <c r="T40" s="31" t="s">
        <v>54</v>
      </c>
      <c r="U40" s="65" t="s">
        <v>437</v>
      </c>
    </row>
    <row r="41" spans="2:21" x14ac:dyDescent="0.2">
      <c r="B41" s="6"/>
      <c r="C41" s="5"/>
      <c r="D41" s="5"/>
      <c r="E41" s="34" t="s">
        <v>55</v>
      </c>
      <c r="F41" s="67">
        <v>0.66</v>
      </c>
    </row>
    <row r="42" spans="2:21" x14ac:dyDescent="0.2">
      <c r="B42" s="6"/>
      <c r="C42" s="5"/>
      <c r="D42" s="5"/>
      <c r="E42" s="34" t="s">
        <v>56</v>
      </c>
      <c r="F42" s="67">
        <v>0.47</v>
      </c>
    </row>
    <row r="43" spans="2:21" x14ac:dyDescent="0.2">
      <c r="B43" s="6"/>
      <c r="C43" s="5"/>
      <c r="D43" s="5"/>
      <c r="E43" s="5"/>
      <c r="F43" s="5"/>
    </row>
    <row r="44" spans="2:21" ht="25.5" x14ac:dyDescent="0.2">
      <c r="B44" s="6"/>
      <c r="C44" s="5"/>
      <c r="D44" s="5"/>
      <c r="E44" s="5"/>
      <c r="F44" s="5"/>
      <c r="O44" s="70" t="s">
        <v>446</v>
      </c>
    </row>
    <row r="45" spans="2:21" x14ac:dyDescent="0.2">
      <c r="B45" s="6"/>
      <c r="C45" s="5"/>
      <c r="D45" s="5"/>
      <c r="E45" s="5"/>
      <c r="F45" s="5"/>
    </row>
    <row r="46" spans="2:21" ht="12.75" customHeight="1" x14ac:dyDescent="0.2">
      <c r="B46" s="97" t="s">
        <v>438</v>
      </c>
      <c r="C46" s="98"/>
      <c r="D46" s="5"/>
      <c r="E46" s="5"/>
      <c r="F46" s="5"/>
      <c r="O46" s="69" t="s">
        <v>445</v>
      </c>
    </row>
    <row r="47" spans="2:21" x14ac:dyDescent="0.2">
      <c r="B47" s="98"/>
      <c r="C47" s="98"/>
      <c r="D47" s="5"/>
      <c r="E47" s="5"/>
      <c r="F47" s="5"/>
    </row>
    <row r="48" spans="2:21" x14ac:dyDescent="0.2">
      <c r="B48" s="98"/>
      <c r="C48" s="98"/>
      <c r="D48" s="5"/>
      <c r="E48" s="5"/>
      <c r="F48" s="5"/>
    </row>
    <row r="49" spans="2:15" ht="25.5" x14ac:dyDescent="0.2">
      <c r="B49" s="98"/>
      <c r="C49" s="98"/>
      <c r="D49" s="5"/>
      <c r="E49" s="5"/>
      <c r="F49" s="5"/>
      <c r="O49" s="70" t="s">
        <v>446</v>
      </c>
    </row>
    <row r="50" spans="2:15" x14ac:dyDescent="0.2">
      <c r="B50" s="98"/>
      <c r="C50" s="98"/>
    </row>
    <row r="51" spans="2:15" x14ac:dyDescent="0.2">
      <c r="B51" s="98"/>
      <c r="C51" s="98"/>
    </row>
    <row r="52" spans="2:15" x14ac:dyDescent="0.2">
      <c r="B52" s="98"/>
      <c r="C52" s="98"/>
    </row>
    <row r="53" spans="2:15" x14ac:dyDescent="0.2">
      <c r="B53" s="98"/>
      <c r="C53" s="98"/>
    </row>
    <row r="54" spans="2:15" x14ac:dyDescent="0.2">
      <c r="B54" s="98"/>
      <c r="C54" s="98"/>
    </row>
    <row r="55" spans="2:15" x14ac:dyDescent="0.2">
      <c r="B55" s="98"/>
      <c r="C55" s="98"/>
    </row>
    <row r="56" spans="2:15" x14ac:dyDescent="0.2">
      <c r="B56" s="98"/>
      <c r="C56" s="98"/>
    </row>
    <row r="57" spans="2:15" x14ac:dyDescent="0.2">
      <c r="B57" s="98"/>
      <c r="C57" s="98"/>
    </row>
    <row r="58" spans="2:15" x14ac:dyDescent="0.2">
      <c r="B58" s="98"/>
      <c r="C58" s="98"/>
    </row>
    <row r="59" spans="2:15" x14ac:dyDescent="0.2">
      <c r="B59" s="98"/>
      <c r="C59" s="98"/>
    </row>
    <row r="60" spans="2:15" x14ac:dyDescent="0.2">
      <c r="B60" s="98"/>
      <c r="C60" s="98"/>
    </row>
    <row r="61" spans="2:15" x14ac:dyDescent="0.2">
      <c r="B61" s="98"/>
      <c r="C61" s="98"/>
    </row>
    <row r="62" spans="2:15" x14ac:dyDescent="0.2">
      <c r="B62" s="98"/>
      <c r="C62" s="98"/>
    </row>
    <row r="63" spans="2:15" x14ac:dyDescent="0.2">
      <c r="B63" s="98"/>
      <c r="C63" s="98"/>
    </row>
    <row r="64" spans="2:15" x14ac:dyDescent="0.2">
      <c r="B64" s="98"/>
      <c r="C64" s="98"/>
    </row>
    <row r="65" spans="2:21" s="1" customFormat="1" x14ac:dyDescent="0.2">
      <c r="B65" s="98"/>
      <c r="C65" s="98"/>
      <c r="G65" s="2"/>
      <c r="H65" s="2"/>
      <c r="I65" s="2"/>
      <c r="J65" s="2"/>
      <c r="K65" s="2"/>
      <c r="L65" s="2"/>
      <c r="M65" s="2"/>
      <c r="N65" s="2"/>
      <c r="O65" s="2"/>
      <c r="P65" s="2"/>
      <c r="Q65" s="2"/>
      <c r="R65" s="2"/>
      <c r="S65" s="2"/>
      <c r="T65" s="2"/>
      <c r="U65" s="2"/>
    </row>
    <row r="66" spans="2:21" s="1" customFormat="1" x14ac:dyDescent="0.2">
      <c r="B66" s="98"/>
      <c r="C66" s="98"/>
      <c r="G66" s="2"/>
      <c r="H66" s="2"/>
      <c r="I66" s="2"/>
      <c r="J66" s="2"/>
      <c r="K66" s="2"/>
      <c r="L66" s="2"/>
      <c r="M66" s="2"/>
      <c r="N66" s="2"/>
      <c r="O66" s="2"/>
      <c r="P66" s="2"/>
      <c r="Q66" s="2"/>
      <c r="R66" s="2"/>
      <c r="S66" s="2"/>
      <c r="T66" s="2"/>
      <c r="U66" s="2"/>
    </row>
    <row r="67" spans="2:21" s="1" customFormat="1" x14ac:dyDescent="0.2">
      <c r="B67" s="98"/>
      <c r="C67" s="98"/>
      <c r="G67" s="2"/>
      <c r="H67" s="2"/>
      <c r="I67" s="2"/>
      <c r="J67" s="2"/>
      <c r="K67" s="2"/>
      <c r="L67" s="2"/>
      <c r="M67" s="2"/>
      <c r="N67" s="2"/>
      <c r="O67" s="2"/>
      <c r="P67" s="2"/>
      <c r="Q67" s="2"/>
      <c r="R67" s="2"/>
      <c r="S67" s="2"/>
      <c r="T67" s="2"/>
      <c r="U67" s="2"/>
    </row>
    <row r="68" spans="2:21" s="1" customFormat="1" x14ac:dyDescent="0.2">
      <c r="B68" s="98"/>
      <c r="C68" s="98"/>
      <c r="G68" s="2"/>
      <c r="H68" s="2"/>
      <c r="I68" s="2"/>
      <c r="J68" s="2"/>
      <c r="K68" s="2"/>
      <c r="L68" s="2"/>
      <c r="M68" s="2"/>
      <c r="N68" s="2"/>
      <c r="O68" s="2"/>
      <c r="P68" s="2"/>
      <c r="Q68" s="2"/>
      <c r="R68" s="2"/>
      <c r="S68" s="2"/>
      <c r="T68" s="2"/>
      <c r="U68" s="2"/>
    </row>
    <row r="69" spans="2:21" s="1" customFormat="1" x14ac:dyDescent="0.2">
      <c r="B69" s="98"/>
      <c r="C69" s="98"/>
      <c r="G69" s="2"/>
      <c r="H69" s="2"/>
      <c r="I69" s="2"/>
      <c r="J69" s="2"/>
      <c r="K69" s="2"/>
      <c r="L69" s="2"/>
      <c r="M69" s="2"/>
      <c r="N69" s="2"/>
      <c r="O69" s="2"/>
      <c r="P69" s="2"/>
      <c r="Q69" s="2"/>
      <c r="R69" s="2"/>
      <c r="S69" s="2"/>
      <c r="T69" s="2"/>
      <c r="U69" s="2"/>
    </row>
    <row r="70" spans="2:21" s="1" customFormat="1" x14ac:dyDescent="0.2">
      <c r="B70" s="98"/>
      <c r="C70" s="98"/>
      <c r="G70" s="2"/>
      <c r="H70" s="2"/>
      <c r="I70" s="2"/>
      <c r="J70" s="2"/>
      <c r="K70" s="2"/>
      <c r="L70" s="2"/>
      <c r="M70" s="2"/>
      <c r="N70" s="2"/>
      <c r="O70" s="2"/>
      <c r="P70" s="2"/>
      <c r="Q70" s="2"/>
      <c r="R70" s="2"/>
      <c r="S70" s="2"/>
      <c r="T70" s="2"/>
      <c r="U70" s="2"/>
    </row>
    <row r="71" spans="2:21" s="1" customFormat="1" x14ac:dyDescent="0.2">
      <c r="B71" s="98"/>
      <c r="C71" s="98"/>
      <c r="G71" s="2"/>
      <c r="H71" s="2"/>
      <c r="I71" s="2"/>
      <c r="J71" s="2"/>
      <c r="K71" s="2"/>
      <c r="L71" s="2"/>
      <c r="M71" s="2"/>
      <c r="N71" s="2"/>
      <c r="O71" s="2"/>
      <c r="P71" s="2"/>
      <c r="Q71" s="2"/>
      <c r="R71" s="2"/>
      <c r="S71" s="2"/>
      <c r="T71" s="2"/>
      <c r="U71" s="2"/>
    </row>
    <row r="72" spans="2:21" s="1" customFormat="1" x14ac:dyDescent="0.2">
      <c r="B72" s="98"/>
      <c r="C72" s="98"/>
      <c r="G72" s="2"/>
      <c r="H72" s="2"/>
      <c r="I72" s="2"/>
      <c r="J72" s="2"/>
      <c r="K72" s="2"/>
      <c r="L72" s="2"/>
      <c r="M72" s="2"/>
      <c r="N72" s="2"/>
      <c r="O72" s="2"/>
      <c r="P72" s="2"/>
      <c r="Q72" s="2"/>
      <c r="R72" s="2"/>
      <c r="S72" s="2"/>
      <c r="T72" s="2"/>
      <c r="U72" s="2"/>
    </row>
    <row r="73" spans="2:21" s="1" customFormat="1" x14ac:dyDescent="0.2">
      <c r="B73" s="98"/>
      <c r="C73" s="98"/>
      <c r="G73" s="2"/>
      <c r="H73" s="2"/>
      <c r="I73" s="2"/>
      <c r="J73" s="2"/>
      <c r="K73" s="2"/>
      <c r="L73" s="2"/>
      <c r="M73" s="2"/>
      <c r="N73" s="2"/>
      <c r="O73" s="2"/>
      <c r="P73" s="2"/>
      <c r="Q73" s="2"/>
      <c r="R73" s="2"/>
      <c r="S73" s="2"/>
      <c r="T73" s="2"/>
      <c r="U73" s="2"/>
    </row>
  </sheetData>
  <mergeCells count="16">
    <mergeCell ref="B46:C73"/>
    <mergeCell ref="Q6:R6"/>
    <mergeCell ref="T6:U6"/>
    <mergeCell ref="B31:C31"/>
    <mergeCell ref="E31:F31"/>
    <mergeCell ref="H31:I31"/>
    <mergeCell ref="K31:L31"/>
    <mergeCell ref="N31:O31"/>
    <mergeCell ref="Q31:R31"/>
    <mergeCell ref="T31:U31"/>
    <mergeCell ref="N6:O6"/>
    <mergeCell ref="B2:C2"/>
    <mergeCell ref="B6:C6"/>
    <mergeCell ref="E6:F6"/>
    <mergeCell ref="H6:I6"/>
    <mergeCell ref="K6:L6"/>
  </mergeCells>
  <hyperlinks>
    <hyperlink ref="B3" r:id="rId1"/>
    <hyperlink ref="F33" r:id="rId2" display="BlackRock U.S. Pension Funding Update, based on data from the top 200 public corporate pension plans as of 12/31/2022."/>
    <hyperlink ref="C27" r:id="rId3" display="Source"/>
    <hyperlink ref="F27" r:id="rId4" display="Source"/>
    <hyperlink ref="R27" r:id="rId5" display="Source"/>
    <hyperlink ref="I33" r:id="rId6"/>
  </hyperlinks>
  <pageMargins left="0.7" right="0.7" top="0.75" bottom="0.75" header="0.3" footer="0.3"/>
  <pageSetup paperSize="9"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topLeftCell="A19" workbookViewId="0">
      <selection activeCell="N17" sqref="N17"/>
    </sheetView>
  </sheetViews>
  <sheetFormatPr defaultRowHeight="12.75" x14ac:dyDescent="0.2"/>
  <cols>
    <col min="1" max="1" width="17.140625" customWidth="1"/>
    <col min="2" max="2" width="19.28515625" customWidth="1"/>
    <col min="3" max="3" width="23.140625" customWidth="1"/>
    <col min="4" max="4" width="19.140625" customWidth="1"/>
    <col min="5" max="5" width="22.140625" customWidth="1"/>
    <col min="8" max="8" width="10.5703125" customWidth="1"/>
    <col min="9" max="9" width="15" customWidth="1"/>
    <col min="14" max="15" width="27.5703125" customWidth="1"/>
    <col min="18" max="18" width="15.42578125" customWidth="1"/>
  </cols>
  <sheetData>
    <row r="1" spans="1:13" ht="26.25" thickBot="1" x14ac:dyDescent="0.25">
      <c r="A1" s="81" t="s">
        <v>452</v>
      </c>
      <c r="B1" s="81" t="s">
        <v>453</v>
      </c>
      <c r="C1" s="81" t="s">
        <v>454</v>
      </c>
      <c r="D1" s="81" t="s">
        <v>455</v>
      </c>
    </row>
    <row r="2" spans="1:13" ht="13.5" thickBot="1" x14ac:dyDescent="0.25">
      <c r="A2" s="81" t="s">
        <v>448</v>
      </c>
      <c r="B2" s="82" t="s">
        <v>449</v>
      </c>
      <c r="C2" s="81" t="s">
        <v>456</v>
      </c>
      <c r="D2" s="82" t="s">
        <v>447</v>
      </c>
      <c r="E2" s="76"/>
      <c r="H2">
        <v>50</v>
      </c>
      <c r="I2" s="84">
        <f t="shared" ref="I2:I9" si="0">H2/$H$11</f>
        <v>0.69300069300069311</v>
      </c>
      <c r="J2" s="84">
        <f>H2/SUM($H$2:$H$7)*0.73</f>
        <v>0.53245805981035743</v>
      </c>
      <c r="K2" s="81" t="s">
        <v>448</v>
      </c>
      <c r="L2" s="84">
        <v>0.53245805981035699</v>
      </c>
      <c r="M2" s="84">
        <f>ROUND(L2,3)</f>
        <v>0.53200000000000003</v>
      </c>
    </row>
    <row r="3" spans="1:13" ht="13.5" thickBot="1" x14ac:dyDescent="0.25">
      <c r="A3" s="81" t="s">
        <v>457</v>
      </c>
      <c r="B3" s="82" t="s">
        <v>458</v>
      </c>
      <c r="C3" s="81" t="s">
        <v>459</v>
      </c>
      <c r="D3" s="82" t="s">
        <v>460</v>
      </c>
      <c r="E3" s="76"/>
      <c r="H3">
        <v>10</v>
      </c>
      <c r="I3" s="84">
        <f t="shared" si="0"/>
        <v>0.13860013860013862</v>
      </c>
      <c r="J3" s="84">
        <f t="shared" ref="J3:J7" si="1">H3/SUM($H$2:$H$7)*0.73</f>
        <v>0.10649161196207148</v>
      </c>
      <c r="K3" s="81" t="s">
        <v>457</v>
      </c>
      <c r="L3" s="84">
        <v>0.10649161196207148</v>
      </c>
      <c r="M3" s="84">
        <f t="shared" ref="M3:M10" si="2">ROUND(L3,3)</f>
        <v>0.106</v>
      </c>
    </row>
    <row r="4" spans="1:13" ht="13.5" thickBot="1" x14ac:dyDescent="0.25">
      <c r="A4" s="81" t="s">
        <v>461</v>
      </c>
      <c r="B4" s="82" t="s">
        <v>462</v>
      </c>
      <c r="C4" s="81" t="s">
        <v>463</v>
      </c>
      <c r="D4" s="82" t="s">
        <v>464</v>
      </c>
      <c r="E4" s="76"/>
      <c r="H4">
        <v>4.0999999999999996</v>
      </c>
      <c r="I4" s="84">
        <f t="shared" si="0"/>
        <v>5.6826056826056827E-2</v>
      </c>
      <c r="J4" s="84">
        <f t="shared" si="1"/>
        <v>4.3661560904449302E-2</v>
      </c>
      <c r="K4" s="81" t="s">
        <v>461</v>
      </c>
      <c r="L4" s="84">
        <v>4.3661560904449302E-2</v>
      </c>
      <c r="M4" s="84">
        <f t="shared" si="2"/>
        <v>4.3999999999999997E-2</v>
      </c>
    </row>
    <row r="5" spans="1:13" ht="13.5" thickBot="1" x14ac:dyDescent="0.25">
      <c r="A5" s="81" t="s">
        <v>465</v>
      </c>
      <c r="B5" s="82" t="s">
        <v>466</v>
      </c>
      <c r="C5" s="81" t="s">
        <v>467</v>
      </c>
      <c r="D5" s="82" t="s">
        <v>468</v>
      </c>
      <c r="E5" s="76"/>
      <c r="H5">
        <v>1.8</v>
      </c>
      <c r="I5" s="84">
        <f t="shared" si="0"/>
        <v>2.4948024948024953E-2</v>
      </c>
      <c r="J5" s="84">
        <f t="shared" si="1"/>
        <v>1.9168490153172867E-2</v>
      </c>
      <c r="K5" s="81" t="s">
        <v>465</v>
      </c>
      <c r="L5" s="84">
        <v>1.9168490153172867E-2</v>
      </c>
      <c r="M5" s="84">
        <f t="shared" si="2"/>
        <v>1.9E-2</v>
      </c>
    </row>
    <row r="6" spans="1:13" ht="13.5" thickBot="1" x14ac:dyDescent="0.25">
      <c r="A6" s="81" t="s">
        <v>469</v>
      </c>
      <c r="B6" s="82" t="s">
        <v>470</v>
      </c>
      <c r="C6" s="81" t="s">
        <v>471</v>
      </c>
      <c r="D6" s="82" t="s">
        <v>472</v>
      </c>
      <c r="E6" s="76"/>
      <c r="H6">
        <v>2.2000000000000002</v>
      </c>
      <c r="I6" s="84">
        <f t="shared" si="0"/>
        <v>3.04920304920305E-2</v>
      </c>
      <c r="J6" s="84">
        <f t="shared" si="1"/>
        <v>2.3428154631655727E-2</v>
      </c>
      <c r="K6" s="81" t="s">
        <v>469</v>
      </c>
      <c r="L6" s="84">
        <v>2.3428154631655727E-2</v>
      </c>
      <c r="M6" s="84">
        <f t="shared" si="2"/>
        <v>2.3E-2</v>
      </c>
    </row>
    <row r="7" spans="1:13" ht="13.5" thickBot="1" x14ac:dyDescent="0.25">
      <c r="A7" s="81" t="s">
        <v>473</v>
      </c>
      <c r="B7" s="82" t="s">
        <v>474</v>
      </c>
      <c r="C7" s="81" t="s">
        <v>475</v>
      </c>
      <c r="D7" s="82" t="s">
        <v>476</v>
      </c>
      <c r="E7" s="76"/>
      <c r="H7">
        <v>0.45</v>
      </c>
      <c r="I7" s="84">
        <f t="shared" si="0"/>
        <v>6.2370062370062382E-3</v>
      </c>
      <c r="J7" s="84">
        <f t="shared" si="1"/>
        <v>4.7921225382932166E-3</v>
      </c>
      <c r="K7" s="81" t="s">
        <v>473</v>
      </c>
      <c r="L7" s="84">
        <v>4.7921225382932166E-3</v>
      </c>
      <c r="M7" s="84">
        <f t="shared" si="2"/>
        <v>5.0000000000000001E-3</v>
      </c>
    </row>
    <row r="8" spans="1:13" ht="26.25" thickBot="1" x14ac:dyDescent="0.25">
      <c r="A8" s="81" t="s">
        <v>477</v>
      </c>
      <c r="B8" s="82" t="s">
        <v>478</v>
      </c>
      <c r="C8" s="81" t="s">
        <v>479</v>
      </c>
      <c r="D8" s="82" t="s">
        <v>480</v>
      </c>
      <c r="E8" s="78"/>
      <c r="H8">
        <v>1.1000000000000001</v>
      </c>
      <c r="I8" s="84">
        <f t="shared" si="0"/>
        <v>1.524601524601525E-2</v>
      </c>
      <c r="J8">
        <v>0.115</v>
      </c>
      <c r="K8" s="81" t="s">
        <v>477</v>
      </c>
      <c r="L8" s="84">
        <v>0.115</v>
      </c>
      <c r="M8" s="84">
        <f t="shared" si="2"/>
        <v>0.115</v>
      </c>
    </row>
    <row r="9" spans="1:13" ht="26.25" thickBot="1" x14ac:dyDescent="0.25">
      <c r="A9" s="81" t="s">
        <v>450</v>
      </c>
      <c r="B9" s="82" t="s">
        <v>481</v>
      </c>
      <c r="C9" s="81" t="s">
        <v>482</v>
      </c>
      <c r="D9" s="82" t="s">
        <v>483</v>
      </c>
      <c r="E9" s="78"/>
      <c r="H9">
        <v>2.5</v>
      </c>
      <c r="I9" s="84">
        <f t="shared" si="0"/>
        <v>3.4650034650034654E-2</v>
      </c>
      <c r="J9">
        <v>0.115</v>
      </c>
      <c r="K9" s="81" t="s">
        <v>450</v>
      </c>
      <c r="L9" s="84">
        <v>0.115</v>
      </c>
      <c r="M9" s="84">
        <f t="shared" si="2"/>
        <v>0.115</v>
      </c>
    </row>
    <row r="10" spans="1:13" x14ac:dyDescent="0.2">
      <c r="A10" s="83" t="s">
        <v>451</v>
      </c>
      <c r="E10" s="79"/>
      <c r="J10">
        <v>0.04</v>
      </c>
      <c r="K10" s="83" t="s">
        <v>451</v>
      </c>
      <c r="L10" s="84">
        <v>0.04</v>
      </c>
      <c r="M10" s="84">
        <f t="shared" si="2"/>
        <v>0.04</v>
      </c>
    </row>
    <row r="11" spans="1:13" x14ac:dyDescent="0.2">
      <c r="H11">
        <f>SUM(H2:H9)</f>
        <v>72.149999999999991</v>
      </c>
      <c r="I11">
        <f>H11/$H$11</f>
        <v>1</v>
      </c>
      <c r="J11" s="84">
        <f>SUM(J2:J10)</f>
        <v>1</v>
      </c>
      <c r="L11">
        <f>SUM(L2:L10)</f>
        <v>0.99999999999999956</v>
      </c>
      <c r="M11" s="84">
        <f>SUM(M2:M10)</f>
        <v>0.99900000000000011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D66861D0719F440A9E18F60528E9020" ma:contentTypeVersion="1" ma:contentTypeDescription="Create a new document." ma:contentTypeScope="" ma:versionID="80f1f5407034e47e4c9aca3933457933">
  <xsd:schema xmlns:xsd="http://www.w3.org/2001/XMLSchema" xmlns:xs="http://www.w3.org/2001/XMLSchema" xmlns:p="http://schemas.microsoft.com/office/2006/metadata/properties" xmlns:ns2="22e64a7c-8fbb-4e0a-849b-eccbbf2e16ad" targetNamespace="http://schemas.microsoft.com/office/2006/metadata/properties" ma:root="true" ma:fieldsID="3e93deed2562d57650a7cb60ebfc6378" ns2:_="">
    <xsd:import namespace="22e64a7c-8fbb-4e0a-849b-eccbbf2e16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e64a7c-8fbb-4e0a-849b-eccbbf2e16ad"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D9448-FDC1-4510-A572-43D3AFA86E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e64a7c-8fbb-4e0a-849b-eccbbf2e16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DD339B3-1EB3-4639-A745-536436C2365F}">
  <ds:schemaRefs>
    <ds:schemaRef ds:uri="http://schemas.openxmlformats.org/package/2006/metadata/core-properties"/>
    <ds:schemaRef ds:uri="http://schemas.microsoft.com/office/2006/documentManagement/types"/>
    <ds:schemaRef ds:uri="http://purl.org/dc/dcmitype/"/>
    <ds:schemaRef ds:uri="22e64a7c-8fbb-4e0a-849b-eccbbf2e16ad"/>
    <ds:schemaRef ds:uri="http://schemas.microsoft.com/office/infopath/2007/PartnerControls"/>
    <ds:schemaRef ds:uri="http://www.w3.org/XML/1998/namespace"/>
    <ds:schemaRef ds:uri="http://schemas.microsoft.com/office/2006/metadata/properties"/>
    <ds:schemaRef ds:uri="http://purl.org/dc/terms/"/>
    <ds:schemaRef ds:uri="http://purl.org/dc/elements/1.1/"/>
  </ds:schemaRefs>
</ds:datastoreItem>
</file>

<file path=customXml/itemProps3.xml><?xml version="1.0" encoding="utf-8"?>
<ds:datastoreItem xmlns:ds="http://schemas.openxmlformats.org/officeDocument/2006/customXml" ds:itemID="{AD0B0915-93FE-4681-89F3-3D81D3C102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Starting point scenario</vt:lpstr>
      <vt:lpstr>AI productivity boom scenario</vt:lpstr>
      <vt:lpstr>U.S. risk premia scenario</vt:lpstr>
      <vt:lpstr>Strategic asset allocation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Barber, Scott</dc:creator>
  <cp:lastModifiedBy>ANJESHNU</cp:lastModifiedBy>
  <dcterms:created xsi:type="dcterms:W3CDTF">2024-01-12T11:01:45Z</dcterms:created>
  <dcterms:modified xsi:type="dcterms:W3CDTF">2026-01-20T14:04:46Z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0x0101009D66861D0719F440A9E18F60528E9020</vt:lpwstr>
  </property>
  <property fmtid="{D5CDD505-2E9C-101B-9397-08002B2CF9AE}" pid="3" name="MSIP_Label_359c894a-69d0-407a-b939-43ad1c556e3e_Enabled">
    <vt:lpwstr>true</vt:lpwstr>
  </property>
  <property fmtid="{D5CDD505-2E9C-101B-9397-08002B2CF9AE}" pid="4" name="MSIP_Label_359c894a-69d0-407a-b939-43ad1c556e3e_SetDate">
    <vt:lpwstr>2024-11-19T14:33:35Z</vt:lpwstr>
  </property>
  <property fmtid="{D5CDD505-2E9C-101B-9397-08002B2CF9AE}" pid="5" name="MSIP_Label_359c894a-69d0-407a-b939-43ad1c556e3e_Method">
    <vt:lpwstr>Privileged</vt:lpwstr>
  </property>
  <property fmtid="{D5CDD505-2E9C-101B-9397-08002B2CF9AE}" pid="6" name="MSIP_Label_359c894a-69d0-407a-b939-43ad1c556e3e_Name">
    <vt:lpwstr>Limited - External</vt:lpwstr>
  </property>
  <property fmtid="{D5CDD505-2E9C-101B-9397-08002B2CF9AE}" pid="7" name="MSIP_Label_359c894a-69d0-407a-b939-43ad1c556e3e_SiteId">
    <vt:lpwstr>282a3295-5c42-4d93-9ec1-6631001cc5f7</vt:lpwstr>
  </property>
  <property fmtid="{D5CDD505-2E9C-101B-9397-08002B2CF9AE}" pid="8" name="MSIP_Label_359c894a-69d0-407a-b939-43ad1c556e3e_ActionId">
    <vt:lpwstr>4516f261-7991-4492-ad21-a51f5170163d</vt:lpwstr>
  </property>
  <property fmtid="{D5CDD505-2E9C-101B-9397-08002B2CF9AE}" pid="9" name="MSIP_Label_359c894a-69d0-407a-b939-43ad1c556e3e_ContentBits">
    <vt:lpwstr>0</vt:lpwstr>
  </property>
</Properties>
</file>